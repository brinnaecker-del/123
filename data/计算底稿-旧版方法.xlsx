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1_原始数据" sheetId="2" state="visible" r:id="rId4"/>
    <sheet name="2_标准化" sheetId="3" state="visible" r:id="rId5"/>
    <sheet name="3_权重" sheetId="4" state="visible" r:id="rId6"/>
    <sheet name="4_子系统指数" sheetId="5" state="visible" r:id="rId7"/>
    <sheet name="5_耦合协调度" sheetId="6" state="visible" r:id="rId8"/>
    <sheet name="6_障碍度" sheetId="7" state="visible" r:id="rId9"/>
    <sheet name="7_偏弹性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<sst xmlns="http://schemas.openxmlformats.org/spreadsheetml/2006/main" count="224" uniqueCount="127">
  <si>
    <r>
      <rPr>
        <b val="true"/>
        <sz val="12"/>
        <rFont val="Noto Sans CJK SC"/>
        <family val="2"/>
        <charset val="1"/>
      </rPr>
      <t xml:space="preserve">西藏高质量发展三元均衡评价 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  <charset val="1"/>
      </rPr>
      <t xml:space="preserve">全过程可复现计算底稿</t>
    </r>
  </si>
  <si>
    <r>
      <rPr>
        <sz val="10"/>
        <rFont val="Noto Sans CJK SC"/>
        <family val="2"/>
        <charset val="1"/>
      </rPr>
      <t xml:space="preserve">数据来源：作者整理，</t>
    </r>
    <r>
      <rPr>
        <sz val="10"/>
        <rFont val="Arial"/>
        <family val="0"/>
        <charset val="1"/>
      </rPr>
      <t xml:space="preserve">2016—2025 </t>
    </r>
    <r>
      <rPr>
        <sz val="10"/>
        <rFont val="Noto Sans CJK SC"/>
        <family val="2"/>
        <charset val="1"/>
      </rPr>
      <t xml:space="preserve">年自治区级时序（原始数据见「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  <charset val="1"/>
      </rPr>
      <t xml:space="preserve">原始数据」表，蓝色字为可修改的原始输入）。</t>
    </r>
  </si>
  <si>
    <t xml:space="preserve">计算链路（每一步均为活公式，修改原始数据后全部自动重算）：</t>
  </si>
  <si>
    <r>
      <rPr>
        <sz val="10"/>
        <rFont val="Arial"/>
        <family val="0"/>
        <charset val="1"/>
      </rPr>
      <t xml:space="preserve">  1_</t>
    </r>
    <r>
      <rPr>
        <sz val="10"/>
        <rFont val="Noto Sans CJK SC"/>
        <family val="2"/>
        <charset val="1"/>
      </rPr>
      <t xml:space="preserve">原始数据  →  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  <charset val="1"/>
      </rPr>
      <t xml:space="preserve">标准化（极差标准化并平移至</t>
    </r>
    <r>
      <rPr>
        <sz val="10"/>
        <rFont val="Arial"/>
        <family val="0"/>
        <charset val="1"/>
      </rPr>
      <t xml:space="preserve">[0.01,1]</t>
    </r>
    <r>
      <rPr>
        <sz val="10"/>
        <rFont val="Noto Sans CJK SC"/>
        <family val="2"/>
        <charset val="1"/>
      </rPr>
      <t xml:space="preserve">，逆向指标取反）</t>
    </r>
  </si>
  <si>
    <r>
      <rPr>
        <sz val="10"/>
        <rFont val="Arial"/>
        <family val="0"/>
        <charset val="1"/>
      </rPr>
      <t xml:space="preserve">  →  3_</t>
    </r>
    <r>
      <rPr>
        <sz val="10"/>
        <rFont val="Noto Sans CJK SC"/>
        <family val="2"/>
        <charset val="1"/>
      </rPr>
      <t xml:space="preserve">权重（熵值法权重、</t>
    </r>
    <r>
      <rPr>
        <sz val="10"/>
        <rFont val="Arial"/>
        <family val="0"/>
        <charset val="1"/>
      </rPr>
      <t xml:space="preserve">CRITIC</t>
    </r>
    <r>
      <rPr>
        <sz val="10"/>
        <rFont val="Noto Sans CJK SC"/>
        <family val="2"/>
        <charset val="1"/>
      </rPr>
      <t xml:space="preserve">权重、二者乘积归一得组合权重）</t>
    </r>
  </si>
  <si>
    <r>
      <rPr>
        <sz val="10"/>
        <rFont val="Arial"/>
        <family val="0"/>
        <charset val="1"/>
      </rPr>
      <t xml:space="preserve">  →  4_</t>
    </r>
    <r>
      <rPr>
        <sz val="10"/>
        <rFont val="Noto Sans CJK SC"/>
        <family val="2"/>
        <charset val="1"/>
      </rPr>
      <t xml:space="preserve">子系统指数（各子系统内以组合权重加权，得 </t>
    </r>
    <r>
      <rPr>
        <sz val="10"/>
        <rFont val="Arial"/>
        <family val="0"/>
        <charset val="1"/>
      </rPr>
      <t xml:space="preserve">US/UD/UE</t>
    </r>
    <r>
      <rPr>
        <sz val="10"/>
        <rFont val="Noto Sans CJK SC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</si>
  <si>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  →  5_</t>
    </r>
    <r>
      <rPr>
        <sz val="10"/>
        <rFont val="Noto Sans CJK SC"/>
        <family val="2"/>
        <charset val="1"/>
      </rPr>
      <t xml:space="preserve">耦合协调度（传统耦合度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  <charset val="1"/>
      </rPr>
      <t xml:space="preserve">、离散系数</t>
    </r>
    <r>
      <rPr>
        <sz val="10"/>
        <rFont val="Arial"/>
        <family val="0"/>
        <charset val="1"/>
      </rPr>
      <t xml:space="preserve">CV</t>
    </r>
    <r>
      <rPr>
        <sz val="10"/>
        <rFont val="Noto Sans CJK SC"/>
        <family val="2"/>
        <charset val="1"/>
      </rPr>
      <t xml:space="preserve">、修正耦合度</t>
    </r>
    <r>
      <rPr>
        <sz val="10"/>
        <rFont val="Arial"/>
        <family val="0"/>
        <charset val="1"/>
      </rPr>
      <t xml:space="preserve">C′=C(1−CV)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D=√(C′·T)</t>
    </r>
    <r>
      <rPr>
        <sz val="10"/>
        <rFont val="Noto Sans CJK SC"/>
        <family val="2"/>
        <charset val="1"/>
      </rPr>
      <t xml:space="preserve">、等级；并列传统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  <charset val="1"/>
      </rPr>
      <t xml:space="preserve">对照）</t>
    </r>
  </si>
  <si>
    <r>
      <rPr>
        <sz val="10"/>
        <rFont val="Arial"/>
        <family val="0"/>
        <charset val="1"/>
      </rPr>
      <t xml:space="preserve">  →  6_</t>
    </r>
    <r>
      <rPr>
        <sz val="10"/>
        <rFont val="Noto Sans CJK SC"/>
        <family val="2"/>
        <charset val="1"/>
      </rPr>
      <t xml:space="preserve">障碍度（指标偏离度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  <charset val="1"/>
      </rPr>
      <t xml:space="preserve">权重归一，识别短板）</t>
    </r>
  </si>
  <si>
    <r>
      <rPr>
        <sz val="10"/>
        <rFont val="Arial"/>
        <family val="0"/>
        <charset val="1"/>
      </rPr>
      <t xml:space="preserve">  →  7_</t>
    </r>
    <r>
      <rPr>
        <sz val="10"/>
        <rFont val="Noto Sans CJK SC"/>
        <family val="2"/>
        <charset val="1"/>
      </rPr>
      <t xml:space="preserve">偏弹性（协调度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  <charset val="1"/>
      </rPr>
      <t xml:space="preserve">对各子系统的弹性，数值微分）</t>
    </r>
  </si>
  <si>
    <r>
      <rPr>
        <b val="true"/>
        <sz val="10"/>
        <rFont val="Noto Sans CJK SC"/>
        <family val="2"/>
        <charset val="1"/>
      </rPr>
      <t xml:space="preserve">一致性核验：本底稿由原始数据算得的 </t>
    </r>
    <r>
      <rPr>
        <b val="true"/>
        <sz val="10"/>
        <rFont val="Arial"/>
        <family val="0"/>
        <charset val="1"/>
      </rPr>
      <t xml:space="preserve">US/UD/UE </t>
    </r>
    <r>
      <rPr>
        <b val="true"/>
        <sz val="10"/>
        <rFont val="Noto Sans CJK SC"/>
        <family val="2"/>
        <charset val="1"/>
      </rPr>
      <t xml:space="preserve">与论文表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  <charset val="1"/>
      </rPr>
      <t xml:space="preserve">逐年一致（各表内已列「论文表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  <charset val="1"/>
      </rPr>
      <t xml:space="preserve">值」与「差异」两列供核对）。</t>
    </r>
  </si>
  <si>
    <r>
      <rPr>
        <sz val="10"/>
        <rFont val="Noto Sans CJK SC"/>
        <family val="2"/>
        <charset val="1"/>
      </rPr>
      <t xml:space="preserve">颜色约定：蓝色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原始输入（可改）；黑色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本表公式；绿色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引用其他表；黄底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  <charset val="1"/>
      </rPr>
      <t xml:space="preserve">关键假设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  <charset val="1"/>
      </rPr>
      <t xml:space="preserve">需注意。</t>
    </r>
  </si>
  <si>
    <r>
      <rPr>
        <sz val="10"/>
        <rFont val="Noto Sans CJK SC"/>
        <family val="2"/>
        <charset val="1"/>
      </rPr>
      <t xml:space="preserve">说明：极差标准化平移常数取 </t>
    </r>
    <r>
      <rPr>
        <sz val="10"/>
        <rFont val="Arial"/>
        <family val="0"/>
        <charset val="1"/>
      </rPr>
      <t xml:space="preserve">0.01</t>
    </r>
    <r>
      <rPr>
        <sz val="10"/>
        <rFont val="Noto Sans CJK SC"/>
        <family val="2"/>
        <charset val="1"/>
      </rPr>
      <t xml:space="preserve">（避免熵值取对数时出现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  <charset val="1"/>
      </rPr>
      <t xml:space="preserve">）；组合权重采用「熵值权重</t>
    </r>
    <r>
      <rPr>
        <sz val="10"/>
        <rFont val="Arial"/>
        <family val="0"/>
        <charset val="1"/>
      </rPr>
      <t xml:space="preserve">×CRITIC</t>
    </r>
    <r>
      <rPr>
        <sz val="10"/>
        <rFont val="Noto Sans CJK SC"/>
        <family val="2"/>
        <charset val="1"/>
      </rPr>
      <t xml:space="preserve">权重后归一」；</t>
    </r>
  </si>
  <si>
    <r>
      <rPr>
        <sz val="10"/>
        <rFont val="Arial"/>
        <family val="0"/>
        <charset val="1"/>
      </rPr>
      <t xml:space="preserve">      T </t>
    </r>
    <r>
      <rPr>
        <sz val="10"/>
        <rFont val="Noto Sans CJK SC"/>
        <family val="2"/>
        <charset val="1"/>
      </rPr>
      <t xml:space="preserve">权重取 </t>
    </r>
    <r>
      <rPr>
        <sz val="10"/>
        <rFont val="Arial"/>
        <family val="0"/>
        <charset val="1"/>
      </rPr>
      <t xml:space="preserve">α=β=γ=1/3</t>
    </r>
    <r>
      <rPr>
        <sz val="10"/>
        <rFont val="Noto Sans CJK SC"/>
        <family val="2"/>
        <charset val="1"/>
      </rPr>
      <t xml:space="preserve">（三系统同等重要）；</t>
    </r>
    <r>
      <rPr>
        <sz val="10"/>
        <rFont val="Arial"/>
        <family val="0"/>
        <charset val="1"/>
      </rPr>
      <t xml:space="preserve">CV </t>
    </r>
    <r>
      <rPr>
        <sz val="10"/>
        <rFont val="Noto Sans CJK SC"/>
        <family val="2"/>
        <charset val="1"/>
      </rPr>
      <t xml:space="preserve">采用总体标准差；等级按耦合协调度十分法判定。</t>
    </r>
  </si>
  <si>
    <t xml:space="preserve">子系统</t>
  </si>
  <si>
    <t xml:space="preserve">指标</t>
  </si>
  <si>
    <t xml:space="preserve">方向</t>
  </si>
  <si>
    <t xml:space="preserve">单位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</si>
  <si>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</si>
  <si>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</si>
  <si>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</si>
  <si>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</si>
  <si>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</si>
  <si>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</si>
  <si>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</si>
  <si>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</si>
  <si>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</si>
  <si>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</si>
  <si>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0"/>
        <color rgb="FF000000"/>
        <rFont val="Noto Sans CJK SC"/>
        <family val="2"/>
        <charset val="1"/>
      </rPr>
      <t xml:space="preserve">安全 </t>
    </r>
    <r>
      <rPr>
        <sz val="10"/>
        <color rgb="FF000000"/>
        <rFont val="Arial"/>
        <family val="0"/>
        <charset val="1"/>
      </rPr>
      <t xml:space="preserve">S</t>
    </r>
  </si>
  <si>
    <t xml:space="preserve">地方一般公共预算收入</t>
  </si>
  <si>
    <t xml:space="preserve">+</t>
  </si>
  <si>
    <t xml:space="preserve">亿元</t>
  </si>
  <si>
    <t xml:space="preserve">城乡居民人均可支配收入比</t>
  </si>
  <si>
    <t xml:space="preserve">-</t>
  </si>
  <si>
    <t xml:space="preserve">倍</t>
  </si>
  <si>
    <t xml:space="preserve">居民医保人均财政补助标准</t>
  </si>
  <si>
    <r>
      <rPr>
        <sz val="10"/>
        <color rgb="FF000000"/>
        <rFont val="Noto Sans CJK SC"/>
        <family val="2"/>
        <charset val="1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年</t>
    </r>
  </si>
  <si>
    <t xml:space="preserve">基本养老保险参保率</t>
  </si>
  <si>
    <t xml:space="preserve">%</t>
  </si>
  <si>
    <r>
      <rPr>
        <sz val="10"/>
        <color rgb="FF000000"/>
        <rFont val="Noto Sans CJK SC"/>
        <family val="2"/>
        <charset val="1"/>
      </rPr>
      <t xml:space="preserve">发展 </t>
    </r>
    <r>
      <rPr>
        <sz val="10"/>
        <color rgb="FF000000"/>
        <rFont val="Arial"/>
        <family val="0"/>
        <charset val="1"/>
      </rPr>
      <t xml:space="preserve">D</t>
    </r>
  </si>
  <si>
    <r>
      <rPr>
        <sz val="10"/>
        <color rgb="FF000000"/>
        <rFont val="Noto Sans CJK SC"/>
        <family val="2"/>
        <charset val="1"/>
      </rPr>
      <t xml:space="preserve">人均</t>
    </r>
    <r>
      <rPr>
        <sz val="10"/>
        <color rgb="FF000000"/>
        <rFont val="Arial"/>
        <family val="0"/>
        <charset val="1"/>
      </rPr>
      <t xml:space="preserve">GDP</t>
    </r>
    <r>
      <rPr>
        <sz val="10"/>
        <color rgb="FF000000"/>
        <rFont val="Noto Sans CJK SC"/>
        <family val="2"/>
        <charset val="1"/>
      </rPr>
      <t xml:space="preserve">相对全国水平</t>
    </r>
  </si>
  <si>
    <t xml:space="preserve">第三产业增加值比重</t>
  </si>
  <si>
    <t xml:space="preserve">地区生产总值</t>
  </si>
  <si>
    <t xml:space="preserve">农村居民人均可支配收入</t>
  </si>
  <si>
    <t xml:space="preserve">元</t>
  </si>
  <si>
    <t xml:space="preserve">货物进出口总额</t>
  </si>
  <si>
    <t xml:space="preserve">接待游客总人数</t>
  </si>
  <si>
    <t xml:space="preserve">万人次</t>
  </si>
  <si>
    <t xml:space="preserve">清洁能源发电量</t>
  </si>
  <si>
    <t xml:space="preserve">亿千瓦时</t>
  </si>
  <si>
    <r>
      <rPr>
        <sz val="10"/>
        <color rgb="FF000000"/>
        <rFont val="Noto Sans CJK SC"/>
        <family val="2"/>
        <charset val="1"/>
      </rPr>
      <t xml:space="preserve">生态 </t>
    </r>
    <r>
      <rPr>
        <sz val="10"/>
        <color rgb="FF000000"/>
        <rFont val="Arial"/>
        <family val="0"/>
        <charset val="1"/>
      </rPr>
      <t xml:space="preserve">E</t>
    </r>
  </si>
  <si>
    <r>
      <rPr>
        <sz val="10"/>
        <color rgb="FF000000"/>
        <rFont val="Noto Sans CJK SC"/>
        <family val="2"/>
        <charset val="1"/>
      </rPr>
      <t xml:space="preserve">单位</t>
    </r>
    <r>
      <rPr>
        <sz val="10"/>
        <color rgb="FF000000"/>
        <rFont val="Arial"/>
        <family val="0"/>
        <charset val="1"/>
      </rPr>
      <t xml:space="preserve">GDP</t>
    </r>
    <r>
      <rPr>
        <sz val="10"/>
        <color rgb="FF000000"/>
        <rFont val="Noto Sans CJK SC"/>
        <family val="2"/>
        <charset val="1"/>
      </rPr>
      <t xml:space="preserve">能耗指数</t>
    </r>
  </si>
  <si>
    <t xml:space="preserve">指数</t>
  </si>
  <si>
    <t xml:space="preserve">森林覆盖率</t>
  </si>
  <si>
    <t xml:space="preserve">空气质量优良天数比例</t>
  </si>
  <si>
    <t xml:space="preserve">草原综合植被盖度</t>
  </si>
  <si>
    <t xml:space="preserve">min</t>
  </si>
  <si>
    <t xml:space="preserve">max</t>
  </si>
  <si>
    <t xml:space="preserve">ΣZ</t>
  </si>
  <si>
    <r>
      <rPr>
        <b val="true"/>
        <sz val="10"/>
        <color rgb="FFFFFFFF"/>
        <rFont val="Noto Sans CJK SC"/>
        <family val="2"/>
        <charset val="1"/>
      </rPr>
      <t xml:space="preserve">熵值 </t>
    </r>
    <r>
      <rPr>
        <b val="true"/>
        <sz val="10"/>
        <color rgb="FFFFFFFF"/>
        <rFont val="Arial"/>
        <family val="0"/>
        <charset val="1"/>
      </rPr>
      <t xml:space="preserve">e</t>
    </r>
  </si>
  <si>
    <r>
      <rPr>
        <b val="true"/>
        <sz val="10"/>
        <color rgb="FFFFFFFF"/>
        <rFont val="Noto Sans CJK SC"/>
        <family val="2"/>
        <charset val="1"/>
      </rPr>
      <t xml:space="preserve">差异 </t>
    </r>
    <r>
      <rPr>
        <b val="true"/>
        <sz val="10"/>
        <color rgb="FFFFFFFF"/>
        <rFont val="Arial"/>
        <family val="0"/>
        <charset val="1"/>
      </rPr>
      <t xml:space="preserve">d=1-e</t>
    </r>
  </si>
  <si>
    <t xml:space="preserve">熵值权重</t>
  </si>
  <si>
    <r>
      <rPr>
        <b val="true"/>
        <sz val="10"/>
        <color rgb="FFFFFFFF"/>
        <rFont val="Noto Sans CJK SC"/>
        <family val="2"/>
        <charset val="1"/>
      </rPr>
      <t xml:space="preserve">标准差</t>
    </r>
    <r>
      <rPr>
        <b val="true"/>
        <sz val="10"/>
        <color rgb="FFFFFFFF"/>
        <rFont val="Arial"/>
        <family val="0"/>
        <charset val="1"/>
      </rPr>
      <t xml:space="preserve">σ</t>
    </r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</si>
  <si>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</si>
  <si>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</si>
  <si>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</si>
  <si>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</si>
  <si>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</si>
  <si>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</si>
  <si>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</si>
  <si>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</si>
  <si>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</si>
  <si>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</si>
  <si>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</si>
  <si>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</si>
  <si>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</si>
  <si>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</si>
  <si>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</si>
  <si>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r>
      <rPr>
        <b val="true"/>
        <sz val="10"/>
        <color rgb="FFFFFFFF"/>
        <rFont val="Noto Sans CJK SC"/>
        <family val="2"/>
        <charset val="1"/>
      </rPr>
      <t xml:space="preserve">冲突性</t>
    </r>
    <r>
      <rPr>
        <b val="true"/>
        <sz val="10"/>
        <color rgb="FFFFFFFF"/>
        <rFont val="Arial"/>
        <family val="0"/>
        <charset val="1"/>
      </rPr>
      <t xml:space="preserve">Σ(1-r)</t>
    </r>
  </si>
  <si>
    <r>
      <rPr>
        <b val="true"/>
        <sz val="10"/>
        <color rgb="FFFFFFFF"/>
        <rFont val="Noto Sans CJK SC"/>
        <family val="2"/>
        <charset val="1"/>
      </rPr>
      <t xml:space="preserve">信息量 </t>
    </r>
    <r>
      <rPr>
        <b val="true"/>
        <sz val="10"/>
        <color rgb="FFFFFFFF"/>
        <rFont val="Arial"/>
        <family val="0"/>
        <charset val="1"/>
      </rPr>
      <t xml:space="preserve">σ·Σ</t>
    </r>
  </si>
  <si>
    <r>
      <rPr>
        <b val="true"/>
        <sz val="10"/>
        <color rgb="FFFFFFFF"/>
        <rFont val="Arial"/>
        <family val="0"/>
        <charset val="1"/>
      </rPr>
      <t xml:space="preserve">CRITIC</t>
    </r>
    <r>
      <rPr>
        <b val="true"/>
        <sz val="10"/>
        <color rgb="FFFFFFFF"/>
        <rFont val="Noto Sans CJK SC"/>
        <family val="2"/>
        <charset val="1"/>
      </rPr>
      <t xml:space="preserve">权重</t>
    </r>
  </si>
  <si>
    <t xml:space="preserve">组合权重</t>
  </si>
  <si>
    <t xml:space="preserve">子系统内权重</t>
  </si>
  <si>
    <t xml:space="preserve">年份</t>
  </si>
  <si>
    <r>
      <rPr>
        <b val="true"/>
        <sz val="10"/>
        <color rgb="FFFFFFFF"/>
        <rFont val="Arial"/>
        <family val="0"/>
        <charset val="1"/>
      </rPr>
      <t xml:space="preserve">US </t>
    </r>
    <r>
      <rPr>
        <b val="true"/>
        <sz val="10"/>
        <color rgb="FFFFFFFF"/>
        <rFont val="Noto Sans CJK SC"/>
        <family val="2"/>
        <charset val="1"/>
      </rPr>
      <t xml:space="preserve">安全</t>
    </r>
  </si>
  <si>
    <r>
      <rPr>
        <b val="true"/>
        <sz val="10"/>
        <color rgb="FFFFFFFF"/>
        <rFont val="Arial"/>
        <family val="0"/>
        <charset val="1"/>
      </rPr>
      <t xml:space="preserve">UD </t>
    </r>
    <r>
      <rPr>
        <b val="true"/>
        <sz val="10"/>
        <color rgb="FFFFFFFF"/>
        <rFont val="Noto Sans CJK SC"/>
        <family val="2"/>
        <charset val="1"/>
      </rPr>
      <t xml:space="preserve">发展</t>
    </r>
  </si>
  <si>
    <r>
      <rPr>
        <b val="true"/>
        <sz val="10"/>
        <color rgb="FFFFFFFF"/>
        <rFont val="Arial"/>
        <family val="0"/>
        <charset val="1"/>
      </rPr>
      <t xml:space="preserve">UE </t>
    </r>
    <r>
      <rPr>
        <b val="true"/>
        <sz val="10"/>
        <color rgb="FFFFFFFF"/>
        <rFont val="Noto Sans CJK SC"/>
        <family val="2"/>
        <charset val="1"/>
      </rPr>
      <t xml:space="preserve">生态</t>
    </r>
  </si>
  <si>
    <r>
      <rPr>
        <b val="true"/>
        <sz val="10"/>
        <color rgb="FFFFFFFF"/>
        <rFont val="Arial"/>
        <family val="0"/>
        <charset val="1"/>
      </rPr>
      <t xml:space="preserve">US </t>
    </r>
    <r>
      <rPr>
        <b val="true"/>
        <sz val="10"/>
        <color rgb="FFFFFFFF"/>
        <rFont val="Noto Sans CJK SC"/>
        <family val="2"/>
        <charset val="1"/>
      </rPr>
      <t xml:space="preserve">论文</t>
    </r>
  </si>
  <si>
    <r>
      <rPr>
        <b val="true"/>
        <sz val="10"/>
        <color rgb="FFFFFFFF"/>
        <rFont val="Arial"/>
        <family val="0"/>
        <charset val="1"/>
      </rPr>
      <t xml:space="preserve">UD </t>
    </r>
    <r>
      <rPr>
        <b val="true"/>
        <sz val="10"/>
        <color rgb="FFFFFFFF"/>
        <rFont val="Noto Sans CJK SC"/>
        <family val="2"/>
        <charset val="1"/>
      </rPr>
      <t xml:space="preserve">论文</t>
    </r>
  </si>
  <si>
    <r>
      <rPr>
        <b val="true"/>
        <sz val="10"/>
        <color rgb="FFFFFFFF"/>
        <rFont val="Arial"/>
        <family val="0"/>
        <charset val="1"/>
      </rPr>
      <t xml:space="preserve">UE </t>
    </r>
    <r>
      <rPr>
        <b val="true"/>
        <sz val="10"/>
        <color rgb="FFFFFFFF"/>
        <rFont val="Noto Sans CJK SC"/>
        <family val="2"/>
        <charset val="1"/>
      </rPr>
      <t xml:space="preserve">论文</t>
    </r>
  </si>
  <si>
    <r>
      <rPr>
        <b val="true"/>
        <sz val="10"/>
        <color rgb="FFFFFFFF"/>
        <rFont val="Arial"/>
        <family val="0"/>
        <charset val="1"/>
      </rPr>
      <t xml:space="preserve">US</t>
    </r>
    <r>
      <rPr>
        <b val="true"/>
        <sz val="10"/>
        <color rgb="FFFFFFFF"/>
        <rFont val="Noto Sans CJK SC"/>
        <family val="2"/>
        <charset val="1"/>
      </rPr>
      <t xml:space="preserve">差异</t>
    </r>
  </si>
  <si>
    <r>
      <rPr>
        <b val="true"/>
        <sz val="10"/>
        <color rgb="FFFFFFFF"/>
        <rFont val="Arial"/>
        <family val="0"/>
        <charset val="1"/>
      </rPr>
      <t xml:space="preserve">UD</t>
    </r>
    <r>
      <rPr>
        <b val="true"/>
        <sz val="10"/>
        <color rgb="FFFFFFFF"/>
        <rFont val="Noto Sans CJK SC"/>
        <family val="2"/>
        <charset val="1"/>
      </rPr>
      <t xml:space="preserve">差异</t>
    </r>
  </si>
  <si>
    <r>
      <rPr>
        <b val="true"/>
        <sz val="10"/>
        <color rgb="FFFFFFFF"/>
        <rFont val="Arial"/>
        <family val="0"/>
        <charset val="1"/>
      </rPr>
      <t xml:space="preserve">UE</t>
    </r>
    <r>
      <rPr>
        <b val="true"/>
        <sz val="10"/>
        <color rgb="FFFFFFFF"/>
        <rFont val="Noto Sans CJK SC"/>
        <family val="2"/>
        <charset val="1"/>
      </rPr>
      <t xml:space="preserve">差异</t>
    </r>
  </si>
  <si>
    <t xml:space="preserve">US</t>
  </si>
  <si>
    <t xml:space="preserve">UD</t>
  </si>
  <si>
    <t xml:space="preserve">UE</t>
  </si>
  <si>
    <r>
      <rPr>
        <b val="true"/>
        <sz val="10"/>
        <color rgb="FFFFFFFF"/>
        <rFont val="Noto Sans CJK SC"/>
        <family val="2"/>
        <charset val="1"/>
      </rPr>
      <t xml:space="preserve">传统</t>
    </r>
    <r>
      <rPr>
        <b val="true"/>
        <sz val="10"/>
        <color rgb="FFFFFFFF"/>
        <rFont val="Arial"/>
        <family val="0"/>
        <charset val="1"/>
      </rPr>
      <t xml:space="preserve">C</t>
    </r>
  </si>
  <si>
    <t xml:space="preserve">T</t>
  </si>
  <si>
    <r>
      <rPr>
        <b val="true"/>
        <sz val="10"/>
        <color rgb="FFFFFFFF"/>
        <rFont val="Noto Sans CJK SC"/>
        <family val="2"/>
        <charset val="1"/>
      </rPr>
      <t xml:space="preserve">离散</t>
    </r>
    <r>
      <rPr>
        <b val="true"/>
        <sz val="10"/>
        <color rgb="FFFFFFFF"/>
        <rFont val="Arial"/>
        <family val="0"/>
        <charset val="1"/>
      </rPr>
      <t xml:space="preserve">CV</t>
    </r>
  </si>
  <si>
    <r>
      <rPr>
        <b val="true"/>
        <sz val="10"/>
        <color rgb="FFFFFFFF"/>
        <rFont val="Noto Sans CJK SC"/>
        <family val="2"/>
        <charset val="1"/>
      </rPr>
      <t xml:space="preserve">修正</t>
    </r>
    <r>
      <rPr>
        <b val="true"/>
        <sz val="10"/>
        <color rgb="FFFFFFFF"/>
        <rFont val="Arial"/>
        <family val="0"/>
        <charset val="1"/>
      </rPr>
      <t xml:space="preserve">C′</t>
    </r>
  </si>
  <si>
    <r>
      <rPr>
        <b val="true"/>
        <sz val="10"/>
        <color rgb="FFFFFFFF"/>
        <rFont val="Noto Sans CJK SC"/>
        <family val="2"/>
        <charset val="1"/>
      </rPr>
      <t xml:space="preserve">协调度</t>
    </r>
    <r>
      <rPr>
        <b val="true"/>
        <sz val="10"/>
        <color rgb="FFFFFFFF"/>
        <rFont val="Arial"/>
        <family val="0"/>
        <charset val="1"/>
      </rPr>
      <t xml:space="preserve">D</t>
    </r>
  </si>
  <si>
    <t xml:space="preserve">等级</t>
  </si>
  <si>
    <r>
      <rPr>
        <b val="true"/>
        <sz val="10"/>
        <color rgb="FFFFFFFF"/>
        <rFont val="Noto Sans CJK SC"/>
        <family val="2"/>
        <charset val="1"/>
      </rPr>
      <t xml:space="preserve">传统</t>
    </r>
    <r>
      <rPr>
        <b val="true"/>
        <sz val="10"/>
        <color rgb="FFFFFFFF"/>
        <rFont val="Arial"/>
        <family val="0"/>
        <charset val="1"/>
      </rPr>
      <t xml:space="preserve">D</t>
    </r>
  </si>
  <si>
    <r>
      <rPr>
        <b val="true"/>
        <sz val="10"/>
        <color rgb="FFFFFFFF"/>
        <rFont val="Arial"/>
        <family val="0"/>
        <charset val="1"/>
      </rPr>
      <t xml:space="preserve">D</t>
    </r>
    <r>
      <rPr>
        <b val="true"/>
        <sz val="10"/>
        <color rgb="FFFFFFFF"/>
        <rFont val="Noto Sans CJK SC"/>
        <family val="2"/>
        <charset val="1"/>
      </rPr>
      <t xml:space="preserve">虚高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</si>
  <si>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  <charset val="1"/>
      </rPr>
      <t xml:space="preserve">论文</t>
    </r>
    <r>
      <rPr>
        <b val="true"/>
        <sz val="10"/>
        <color rgb="FFFFFFFF"/>
        <rFont val="Arial"/>
        <family val="0"/>
        <charset val="1"/>
      </rPr>
      <t xml:space="preserve">D</t>
    </r>
  </si>
  <si>
    <r>
      <rPr>
        <b val="true"/>
        <sz val="10"/>
        <color rgb="FFFFFFFF"/>
        <rFont val="Arial"/>
        <family val="0"/>
        <charset val="1"/>
      </rPr>
      <t xml:space="preserve">D</t>
    </r>
    <r>
      <rPr>
        <b val="true"/>
        <sz val="10"/>
        <color rgb="FFFFFFFF"/>
        <rFont val="Noto Sans CJK SC"/>
        <family val="2"/>
        <charset val="1"/>
      </rPr>
      <t xml:space="preserve">差异</t>
    </r>
  </si>
  <si>
    <t xml:space="preserve">极度失调</t>
  </si>
  <si>
    <t xml:space="preserve">严重失调</t>
  </si>
  <si>
    <t xml:space="preserve">中度失调</t>
  </si>
  <si>
    <t xml:space="preserve">轻度失调</t>
  </si>
  <si>
    <t xml:space="preserve">濒临失调</t>
  </si>
  <si>
    <t xml:space="preserve">勉强协调</t>
  </si>
  <si>
    <t xml:space="preserve">初级协调</t>
  </si>
  <si>
    <t xml:space="preserve">中级协调</t>
  </si>
  <si>
    <t xml:space="preserve">良好协调</t>
  </si>
  <si>
    <t xml:space="preserve">优质协调</t>
  </si>
  <si>
    <t xml:space="preserve">均值</t>
  </si>
  <si>
    <t xml:space="preserve">排序</t>
  </si>
  <si>
    <r>
      <rPr>
        <sz val="10"/>
        <color rgb="FF000000"/>
        <rFont val="Noto Sans CJK SC"/>
        <family val="2"/>
        <charset val="1"/>
      </rPr>
      <t xml:space="preserve">分母</t>
    </r>
    <r>
      <rPr>
        <sz val="10"/>
        <color rgb="FF000000"/>
        <rFont val="Arial"/>
        <family val="0"/>
        <charset val="1"/>
      </rPr>
      <t xml:space="preserve">Σ(w·</t>
    </r>
    <r>
      <rPr>
        <sz val="10"/>
        <color rgb="FF000000"/>
        <rFont val="Noto Sans CJK SC"/>
        <family val="2"/>
        <charset val="1"/>
      </rPr>
      <t xml:space="preserve">偏离</t>
    </r>
    <r>
      <rPr>
        <sz val="10"/>
        <color rgb="FF000000"/>
        <rFont val="Arial"/>
        <family val="0"/>
        <charset val="1"/>
      </rPr>
      <t xml:space="preserve">)</t>
    </r>
  </si>
  <si>
    <t xml:space="preserve">子系统障碍度合计</t>
  </si>
  <si>
    <r>
      <rPr>
        <sz val="10"/>
        <color rgb="FF000000"/>
        <rFont val="Noto Sans CJK SC"/>
        <family val="2"/>
        <charset val="1"/>
      </rPr>
      <t xml:space="preserve">扰动步长 </t>
    </r>
    <r>
      <rPr>
        <sz val="10"/>
        <color rgb="FF000000"/>
        <rFont val="Arial"/>
        <family val="0"/>
        <charset val="1"/>
      </rPr>
      <t xml:space="preserve">h=</t>
    </r>
  </si>
  <si>
    <r>
      <rPr>
        <b val="true"/>
        <sz val="10"/>
        <color rgb="FFFFFFFF"/>
        <rFont val="Noto Sans CJK SC"/>
        <family val="2"/>
        <charset val="1"/>
      </rPr>
      <t xml:space="preserve">基准</t>
    </r>
    <r>
      <rPr>
        <b val="true"/>
        <sz val="10"/>
        <color rgb="FFFFFFFF"/>
        <rFont val="Arial"/>
        <family val="0"/>
        <charset val="1"/>
      </rPr>
      <t xml:space="preserve">D</t>
    </r>
  </si>
  <si>
    <t xml:space="preserve">D(US+)</t>
  </si>
  <si>
    <t xml:space="preserve">D(UD+)</t>
  </si>
  <si>
    <t xml:space="preserve">D(UE+)</t>
  </si>
  <si>
    <r>
      <rPr>
        <b val="true"/>
        <sz val="10"/>
        <color rgb="FFFFFFFF"/>
        <rFont val="Noto Sans CJK SC"/>
        <family val="2"/>
        <charset val="1"/>
      </rPr>
      <t xml:space="preserve">弹性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  <charset val="1"/>
      </rPr>
      <t xml:space="preserve">安全</t>
    </r>
  </si>
  <si>
    <r>
      <rPr>
        <b val="true"/>
        <sz val="10"/>
        <color rgb="FFFFFFFF"/>
        <rFont val="Noto Sans CJK SC"/>
        <family val="2"/>
        <charset val="1"/>
      </rPr>
      <t xml:space="preserve">弹性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  <charset val="1"/>
      </rPr>
      <t xml:space="preserve">发展</t>
    </r>
  </si>
  <si>
    <r>
      <rPr>
        <b val="true"/>
        <sz val="10"/>
        <color rgb="FFFFFFFF"/>
        <rFont val="Noto Sans CJK SC"/>
        <family val="2"/>
        <charset val="1"/>
      </rPr>
      <t xml:space="preserve">弹性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  <charset val="1"/>
      </rPr>
      <t xml:space="preserve">生态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</si>
</sst>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####"/>
    <numFmt numFmtId="166" formatCode="0.0000"/>
    <numFmt numFmtId="167" formatCode="General"/>
    <numFmt numFmtId="168" formatCode="0.00"/>
    <numFmt numFmtId="169" formatCode="0.000"/>
    <numFmt numFmtId="170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9.4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5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6"/>
    <col collapsed="false" customWidth="true" hidden="false" outlineLevel="0" max="4" min="4" style="1" width="11"/>
    <col collapsed="false" customWidth="true" hidden="false" outlineLevel="0" max="14" min="5" style="1" width="9"/>
  </cols>
  <sheetData>
    <row r="1" customFormat="false" ht="15" hidden="false" customHeight="false" outlineLevel="0" collapsed="false">
      <c r="A1" s="6" t="s">
        <v>13</v>
      </c>
      <c r="B1" s="6" t="s">
        <v>14</v>
      </c>
      <c r="C1" s="6" t="s">
        <v>15</v>
      </c>
      <c r="D1" s="6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</row>
    <row r="2" customFormat="false" ht="15" hidden="false" customHeight="false" outlineLevel="0" collapsed="false">
      <c r="A2" s="8" t="s">
        <v>27</v>
      </c>
      <c r="B2" s="9" t="s">
        <v>28</v>
      </c>
      <c r="C2" s="10" t="s">
        <v>29</v>
      </c>
      <c r="D2" s="8" t="s">
        <v>30</v>
      </c>
      <c r="E2" s="11" t="n">
        <v>155.99</v>
      </c>
      <c r="F2" s="11" t="n">
        <v>185.83</v>
      </c>
      <c r="G2" s="11" t="n">
        <v>230.35</v>
      </c>
      <c r="H2" s="11" t="n">
        <v>221.99</v>
      </c>
      <c r="I2" s="11" t="n">
        <v>220.99</v>
      </c>
      <c r="J2" s="11" t="n">
        <v>215.62</v>
      </c>
      <c r="K2" s="11" t="n">
        <v>179.63</v>
      </c>
      <c r="L2" s="11" t="n">
        <v>236.63</v>
      </c>
      <c r="M2" s="11" t="n">
        <v>277.19</v>
      </c>
      <c r="N2" s="11" t="n">
        <v>317.9</v>
      </c>
    </row>
    <row r="3" customFormat="false" ht="15" hidden="false" customHeight="false" outlineLevel="0" collapsed="false">
      <c r="A3" s="8" t="s">
        <v>27</v>
      </c>
      <c r="B3" s="9" t="s">
        <v>31</v>
      </c>
      <c r="C3" s="10" t="s">
        <v>32</v>
      </c>
      <c r="D3" s="8" t="s">
        <v>33</v>
      </c>
      <c r="E3" s="11" t="n">
        <v>3.0571805586</v>
      </c>
      <c r="F3" s="11" t="n">
        <v>2.9691190707</v>
      </c>
      <c r="G3" s="11" t="n">
        <v>2.9517030568</v>
      </c>
      <c r="H3" s="11" t="n">
        <v>2.8885800324</v>
      </c>
      <c r="I3" s="11" t="n">
        <v>2.8192903137</v>
      </c>
      <c r="J3" s="11" t="n">
        <v>2.7459698849</v>
      </c>
      <c r="K3" s="11" t="n">
        <v>2.6774122687</v>
      </c>
      <c r="L3" s="11" t="n">
        <v>2.6048986147</v>
      </c>
      <c r="M3" s="11" t="n">
        <v>2.5694689035</v>
      </c>
      <c r="N3" s="11" t="n">
        <v>2.5359730849</v>
      </c>
    </row>
    <row r="4" customFormat="false" ht="15" hidden="false" customHeight="false" outlineLevel="0" collapsed="false">
      <c r="A4" s="8" t="s">
        <v>27</v>
      </c>
      <c r="B4" s="9" t="s">
        <v>34</v>
      </c>
      <c r="C4" s="10" t="s">
        <v>29</v>
      </c>
      <c r="D4" s="8" t="s">
        <v>35</v>
      </c>
      <c r="E4" s="11" t="n">
        <v>420</v>
      </c>
      <c r="F4" s="11" t="n">
        <v>450</v>
      </c>
      <c r="G4" s="11" t="n">
        <v>515</v>
      </c>
      <c r="H4" s="11" t="n">
        <v>515</v>
      </c>
      <c r="I4" s="11" t="n">
        <v>550</v>
      </c>
      <c r="J4" s="11" t="n">
        <v>580</v>
      </c>
      <c r="K4" s="11" t="n">
        <v>615</v>
      </c>
      <c r="L4" s="11" t="n">
        <v>675</v>
      </c>
      <c r="M4" s="11" t="n">
        <v>705</v>
      </c>
      <c r="N4" s="11" t="n">
        <v>735</v>
      </c>
    </row>
    <row r="5" customFormat="false" ht="15" hidden="false" customHeight="false" outlineLevel="0" collapsed="false">
      <c r="A5" s="8" t="s">
        <v>27</v>
      </c>
      <c r="B5" s="9" t="s">
        <v>36</v>
      </c>
      <c r="C5" s="10" t="s">
        <v>29</v>
      </c>
      <c r="D5" s="10" t="s">
        <v>37</v>
      </c>
      <c r="E5" s="11" t="n">
        <v>0.855</v>
      </c>
      <c r="F5" s="11" t="n">
        <v>0.893</v>
      </c>
      <c r="G5" s="11" t="n">
        <v>0.9115</v>
      </c>
      <c r="H5" s="11" t="n">
        <v>0.926</v>
      </c>
      <c r="I5" s="11" t="n">
        <v>0.941</v>
      </c>
      <c r="J5" s="11" t="n">
        <v>0.952</v>
      </c>
      <c r="K5" s="11" t="n">
        <v>0.955</v>
      </c>
      <c r="L5" s="11" t="n">
        <v>0.958</v>
      </c>
      <c r="M5" s="11" t="n">
        <v>0.9631</v>
      </c>
      <c r="N5" s="11" t="n">
        <v>0.965</v>
      </c>
    </row>
    <row r="6" customFormat="false" ht="15" hidden="false" customHeight="false" outlineLevel="0" collapsed="false">
      <c r="A6" s="8" t="s">
        <v>38</v>
      </c>
      <c r="B6" s="9" t="s">
        <v>39</v>
      </c>
      <c r="C6" s="10" t="s">
        <v>29</v>
      </c>
      <c r="D6" s="10" t="s">
        <v>37</v>
      </c>
      <c r="E6" s="11" t="n">
        <v>0.6541844077</v>
      </c>
      <c r="F6" s="11" t="n">
        <v>0.658930729</v>
      </c>
      <c r="G6" s="11" t="n">
        <v>0.6622211371</v>
      </c>
      <c r="H6" s="11" t="n">
        <v>0.6978224264</v>
      </c>
      <c r="I6" s="11" t="n">
        <v>0.7287548031</v>
      </c>
      <c r="J6" s="11" t="n">
        <v>0.6838045963</v>
      </c>
      <c r="K6" s="11" t="n">
        <v>0.685</v>
      </c>
      <c r="L6" s="11" t="n">
        <v>0.7344</v>
      </c>
      <c r="M6" s="11" t="n">
        <v>0.7858</v>
      </c>
      <c r="N6" s="11" t="n">
        <v>0.8177</v>
      </c>
    </row>
    <row r="7" customFormat="false" ht="15" hidden="false" customHeight="false" outlineLevel="0" collapsed="false">
      <c r="A7" s="8" t="s">
        <v>38</v>
      </c>
      <c r="B7" s="9" t="s">
        <v>40</v>
      </c>
      <c r="C7" s="10" t="s">
        <v>29</v>
      </c>
      <c r="D7" s="10" t="s">
        <v>37</v>
      </c>
      <c r="E7" s="11" t="n">
        <v>58.2</v>
      </c>
      <c r="F7" s="11" t="n">
        <v>57.4</v>
      </c>
      <c r="G7" s="11" t="n">
        <v>55.1</v>
      </c>
      <c r="H7" s="11" t="n">
        <v>55.6</v>
      </c>
      <c r="I7" s="11" t="n">
        <v>56.1</v>
      </c>
      <c r="J7" s="11" t="n">
        <v>57.4</v>
      </c>
      <c r="K7" s="11" t="n">
        <v>57.2</v>
      </c>
      <c r="L7" s="11" t="n">
        <v>57.5</v>
      </c>
      <c r="M7" s="11" t="n">
        <v>54.3</v>
      </c>
      <c r="N7" s="11" t="n">
        <v>52.5</v>
      </c>
    </row>
    <row r="8" customFormat="false" ht="15" hidden="false" customHeight="false" outlineLevel="0" collapsed="false">
      <c r="A8" s="8" t="s">
        <v>38</v>
      </c>
      <c r="B8" s="9" t="s">
        <v>41</v>
      </c>
      <c r="C8" s="10" t="s">
        <v>29</v>
      </c>
      <c r="D8" s="8" t="s">
        <v>30</v>
      </c>
      <c r="E8" s="11" t="n">
        <v>1197.38</v>
      </c>
      <c r="F8" s="11" t="n">
        <v>1380.97</v>
      </c>
      <c r="G8" s="11" t="n">
        <v>1583.48</v>
      </c>
      <c r="H8" s="11" t="n">
        <v>1750.34</v>
      </c>
      <c r="I8" s="11" t="n">
        <v>1956.54</v>
      </c>
      <c r="J8" s="11" t="n">
        <v>2145.08</v>
      </c>
      <c r="K8" s="11" t="n">
        <v>2235.39</v>
      </c>
      <c r="L8" s="11" t="n">
        <v>2532.86</v>
      </c>
      <c r="M8" s="11" t="n">
        <v>2789.07</v>
      </c>
      <c r="N8" s="11" t="n">
        <v>3031.89</v>
      </c>
    </row>
    <row r="9" customFormat="false" ht="15" hidden="false" customHeight="false" outlineLevel="0" collapsed="false">
      <c r="A9" s="8" t="s">
        <v>38</v>
      </c>
      <c r="B9" s="9" t="s">
        <v>42</v>
      </c>
      <c r="C9" s="10" t="s">
        <v>29</v>
      </c>
      <c r="D9" s="8" t="s">
        <v>43</v>
      </c>
      <c r="E9" s="11" t="n">
        <v>9094</v>
      </c>
      <c r="F9" s="11" t="n">
        <v>10330</v>
      </c>
      <c r="G9" s="11" t="n">
        <v>11450</v>
      </c>
      <c r="H9" s="11" t="n">
        <v>12951</v>
      </c>
      <c r="I9" s="11" t="n">
        <v>14598</v>
      </c>
      <c r="J9" s="11" t="n">
        <v>16935</v>
      </c>
      <c r="K9" s="11" t="n">
        <v>18209</v>
      </c>
      <c r="L9" s="11" t="n">
        <v>19924</v>
      </c>
      <c r="M9" s="11" t="n">
        <v>21578</v>
      </c>
      <c r="N9" s="11" t="n">
        <v>23184</v>
      </c>
    </row>
    <row r="10" customFormat="false" ht="15" hidden="false" customHeight="false" outlineLevel="0" collapsed="false">
      <c r="A10" s="8" t="s">
        <v>38</v>
      </c>
      <c r="B10" s="9" t="s">
        <v>44</v>
      </c>
      <c r="C10" s="10" t="s">
        <v>29</v>
      </c>
      <c r="D10" s="8" t="s">
        <v>30</v>
      </c>
      <c r="E10" s="11" t="n">
        <v>51.67</v>
      </c>
      <c r="F10" s="11" t="n">
        <v>59.19</v>
      </c>
      <c r="G10" s="11" t="n">
        <v>47.52</v>
      </c>
      <c r="H10" s="11" t="n">
        <v>48.76</v>
      </c>
      <c r="I10" s="11" t="n">
        <v>21.33</v>
      </c>
      <c r="J10" s="11" t="n">
        <v>40.16</v>
      </c>
      <c r="K10" s="11" t="n">
        <v>46.01</v>
      </c>
      <c r="L10" s="11" t="n">
        <v>109.78</v>
      </c>
      <c r="M10" s="11" t="n">
        <v>126.72</v>
      </c>
      <c r="N10" s="11" t="n">
        <v>84.79</v>
      </c>
    </row>
    <row r="11" customFormat="false" ht="15" hidden="false" customHeight="false" outlineLevel="0" collapsed="false">
      <c r="A11" s="8" t="s">
        <v>38</v>
      </c>
      <c r="B11" s="9" t="s">
        <v>45</v>
      </c>
      <c r="C11" s="10" t="s">
        <v>29</v>
      </c>
      <c r="D11" s="8" t="s">
        <v>46</v>
      </c>
      <c r="E11" s="11" t="n">
        <v>2315.94</v>
      </c>
      <c r="F11" s="11" t="n">
        <v>2561.43</v>
      </c>
      <c r="G11" s="11" t="n">
        <v>3368.73</v>
      </c>
      <c r="H11" s="11" t="n">
        <v>4012.15</v>
      </c>
      <c r="I11" s="11" t="n">
        <v>3505.01</v>
      </c>
      <c r="J11" s="11" t="n">
        <v>4153.44</v>
      </c>
      <c r="K11" s="11" t="n">
        <v>3002.76</v>
      </c>
      <c r="L11" s="11" t="n">
        <v>5516.98</v>
      </c>
      <c r="M11" s="11" t="n">
        <v>6389.1</v>
      </c>
      <c r="N11" s="11" t="n">
        <v>7073.37</v>
      </c>
    </row>
    <row r="12" customFormat="false" ht="15" hidden="false" customHeight="false" outlineLevel="0" collapsed="false">
      <c r="A12" s="8" t="s">
        <v>38</v>
      </c>
      <c r="B12" s="9" t="s">
        <v>47</v>
      </c>
      <c r="C12" s="10" t="s">
        <v>29</v>
      </c>
      <c r="D12" s="8" t="s">
        <v>48</v>
      </c>
      <c r="E12" s="11" t="n">
        <v>50.78</v>
      </c>
      <c r="F12" s="11" t="n">
        <v>52.06</v>
      </c>
      <c r="G12" s="11" t="n">
        <v>63.14</v>
      </c>
      <c r="H12" s="11" t="n">
        <v>66.3</v>
      </c>
      <c r="I12" s="11" t="n">
        <v>67.1</v>
      </c>
      <c r="J12" s="11" t="n">
        <v>80.8</v>
      </c>
      <c r="K12" s="11" t="n">
        <v>111.1</v>
      </c>
      <c r="L12" s="11" t="n">
        <v>133.5</v>
      </c>
      <c r="M12" s="11" t="n">
        <v>140.41</v>
      </c>
      <c r="N12" s="11" t="n">
        <v>162.42</v>
      </c>
    </row>
    <row r="13" customFormat="false" ht="15" hidden="false" customHeight="false" outlineLevel="0" collapsed="false">
      <c r="A13" s="8" t="s">
        <v>49</v>
      </c>
      <c r="B13" s="9" t="s">
        <v>50</v>
      </c>
      <c r="C13" s="10" t="s">
        <v>32</v>
      </c>
      <c r="D13" s="8" t="s">
        <v>51</v>
      </c>
      <c r="E13" s="11" t="n">
        <v>96.8</v>
      </c>
      <c r="F13" s="11" t="n">
        <v>93.41</v>
      </c>
      <c r="G13" s="11" t="n">
        <v>90.51</v>
      </c>
      <c r="H13" s="11" t="n">
        <v>87.98</v>
      </c>
      <c r="I13" s="11" t="n">
        <v>86.66</v>
      </c>
      <c r="J13" s="11" t="n">
        <v>84.06</v>
      </c>
      <c r="K13" s="11" t="n">
        <v>81.2</v>
      </c>
      <c r="L13" s="11" t="n">
        <v>78.85</v>
      </c>
      <c r="M13" s="11" t="n">
        <v>76.41</v>
      </c>
      <c r="N13" s="11" t="n">
        <v>73.89</v>
      </c>
    </row>
    <row r="14" customFormat="false" ht="15" hidden="false" customHeight="false" outlineLevel="0" collapsed="false">
      <c r="A14" s="8" t="s">
        <v>49</v>
      </c>
      <c r="B14" s="9" t="s">
        <v>52</v>
      </c>
      <c r="C14" s="10" t="s">
        <v>29</v>
      </c>
      <c r="D14" s="10" t="s">
        <v>37</v>
      </c>
      <c r="E14" s="11" t="n">
        <v>0.1198</v>
      </c>
      <c r="F14" s="11" t="n">
        <v>0.1214</v>
      </c>
      <c r="G14" s="11" t="n">
        <v>0.1214</v>
      </c>
      <c r="H14" s="11" t="n">
        <v>0.1214</v>
      </c>
      <c r="I14" s="11" t="n">
        <v>0.1231</v>
      </c>
      <c r="J14" s="11" t="n">
        <v>0.1231</v>
      </c>
      <c r="K14" s="11" t="n">
        <v>0.1231</v>
      </c>
      <c r="L14" s="11" t="n">
        <v>0.1231</v>
      </c>
      <c r="M14" s="11" t="n">
        <v>0.1231</v>
      </c>
      <c r="N14" s="11" t="n">
        <v>0.1254</v>
      </c>
    </row>
    <row r="15" customFormat="false" ht="15" hidden="false" customHeight="false" outlineLevel="0" collapsed="false">
      <c r="A15" s="8" t="s">
        <v>49</v>
      </c>
      <c r="B15" s="9" t="s">
        <v>53</v>
      </c>
      <c r="C15" s="10" t="s">
        <v>29</v>
      </c>
      <c r="D15" s="10" t="s">
        <v>37</v>
      </c>
      <c r="E15" s="11" t="n">
        <v>96.8</v>
      </c>
      <c r="F15" s="11" t="n">
        <v>97.3</v>
      </c>
      <c r="G15" s="11" t="n">
        <v>98.9</v>
      </c>
      <c r="H15" s="11" t="n">
        <v>99.6</v>
      </c>
      <c r="I15" s="11" t="n">
        <v>99.4</v>
      </c>
      <c r="J15" s="11" t="n">
        <v>99.2</v>
      </c>
      <c r="K15" s="11" t="n">
        <v>99</v>
      </c>
      <c r="L15" s="11" t="n">
        <v>99.4</v>
      </c>
      <c r="M15" s="11" t="n">
        <v>99.5</v>
      </c>
      <c r="N15" s="11" t="n">
        <v>99.6</v>
      </c>
    </row>
    <row r="16" customFormat="false" ht="15" hidden="false" customHeight="false" outlineLevel="0" collapsed="false">
      <c r="A16" s="8" t="s">
        <v>49</v>
      </c>
      <c r="B16" s="9" t="s">
        <v>54</v>
      </c>
      <c r="C16" s="10" t="s">
        <v>29</v>
      </c>
      <c r="D16" s="10" t="s">
        <v>37</v>
      </c>
      <c r="E16" s="11" t="n">
        <v>42.3</v>
      </c>
      <c r="F16" s="11" t="n">
        <v>44.2</v>
      </c>
      <c r="G16" s="11" t="n">
        <v>45.9</v>
      </c>
      <c r="H16" s="11" t="n">
        <v>46.7</v>
      </c>
      <c r="I16" s="11" t="n">
        <v>46.9</v>
      </c>
      <c r="J16" s="11" t="n">
        <v>47.14</v>
      </c>
      <c r="K16" s="11" t="n">
        <v>47.5</v>
      </c>
      <c r="L16" s="11" t="n">
        <v>47.78</v>
      </c>
      <c r="M16" s="11" t="n">
        <v>48.02</v>
      </c>
      <c r="N16" s="11" t="n">
        <v>48.07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6"/>
    <col collapsed="false" customWidth="true" hidden="false" outlineLevel="0" max="14" min="5" style="1" width="8"/>
    <col collapsed="false" customWidth="true" hidden="false" outlineLevel="0" max="17" min="16" style="1" width="9"/>
  </cols>
  <sheetData>
    <row r="1" customFormat="false" ht="15" hidden="false" customHeight="false" outlineLevel="0" collapsed="false">
      <c r="A1" s="6" t="s">
        <v>13</v>
      </c>
      <c r="B1" s="6" t="s">
        <v>14</v>
      </c>
      <c r="C1" s="6" t="s">
        <v>15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O1" s="7" t="s">
        <v>55</v>
      </c>
      <c r="P1" s="7" t="s">
        <v>56</v>
      </c>
    </row>
    <row r="2" customFormat="false" ht="15" hidden="false" customHeight="false" outlineLevel="0" collapsed="false">
      <c r="A2" s="12" t="str">
        <f aca="false">1_原始数据!A2</f>
        <v>安全 S</v>
      </c>
      <c r="B2" s="13" t="str">
        <f aca="false">1_原始数据!B2</f>
        <v>地方一般公共预算收入</v>
      </c>
      <c r="C2" s="12" t="str">
        <f aca="false">1_原始数据!C2</f>
        <v>+</v>
      </c>
      <c r="E2" s="14" t="n">
        <f aca="false">0.01+0.99*IF($C2="+",(1_原始数据!E2-$P2)/($Q2-$P2),($Q2-1_原始数据!E2)/($Q2-$P2))</f>
        <v>0.01</v>
      </c>
      <c r="F2" s="14" t="n">
        <f aca="false">0.01+0.99*IF($C2="+",(1_原始数据!F2-$P2)/($Q2-$P2),($Q2-1_原始数据!F2)/($Q2-$P2))</f>
        <v>0.192456920511395</v>
      </c>
      <c r="G2" s="14" t="n">
        <f aca="false">0.01+0.99*IF($C2="+",(1_原始数据!G2-$P2)/($Q2-$P2),($Q2-1_原始数据!G2)/($Q2-$P2))</f>
        <v>0.46467481934408</v>
      </c>
      <c r="H2" s="14" t="n">
        <f aca="false">0.01+0.99*IF($C2="+",(1_原始数据!H2-$P2)/($Q2-$P2),($Q2-1_原始数据!H2)/($Q2-$P2))</f>
        <v>0.413557531962201</v>
      </c>
      <c r="I2" s="14" t="n">
        <f aca="false">0.01+0.99*IF($C2="+",(1_原始数据!I2-$P2)/($Q2-$P2),($Q2-1_原始数据!I2)/($Q2-$P2))</f>
        <v>0.407443023902168</v>
      </c>
      <c r="J2" s="14" t="n">
        <f aca="false">0.01+0.99*IF($C2="+",(1_原始数据!J2-$P2)/($Q2-$P2),($Q2-1_原始数据!J2)/($Q2-$P2))</f>
        <v>0.374608115619789</v>
      </c>
      <c r="K2" s="14" t="n">
        <f aca="false">0.01+0.99*IF($C2="+",(1_原始数据!K2-$P2)/($Q2-$P2),($Q2-1_原始数据!K2)/($Q2-$P2))</f>
        <v>0.154546970539188</v>
      </c>
      <c r="L2" s="14" t="n">
        <f aca="false">0.01+0.99*IF($C2="+",(1_原始数据!L2-$P2)/($Q2-$P2),($Q2-1_原始数据!L2)/($Q2-$P2))</f>
        <v>0.50307392996109</v>
      </c>
      <c r="M2" s="14" t="n">
        <f aca="false">0.01+0.99*IF($C2="+",(1_原始数据!M2-$P2)/($Q2-$P2),($Q2-1_原始数据!M2)/($Q2-$P2))</f>
        <v>0.751078376876042</v>
      </c>
      <c r="N2" s="14" t="n">
        <f aca="false">0.01+0.99*IF($C2="+",(1_原始数据!N2-$P2)/($Q2-$P2),($Q2-1_原始数据!N2)/($Q2-$P2))</f>
        <v>1</v>
      </c>
      <c r="P2" s="15" t="n">
        <f aca="false">MIN(1_原始数据!E2:N2)</f>
        <v>155.99</v>
      </c>
      <c r="Q2" s="15" t="n">
        <f aca="false">MAX(1_原始数据!E2:N2)</f>
        <v>317.9</v>
      </c>
    </row>
    <row r="3" customFormat="false" ht="15" hidden="false" customHeight="false" outlineLevel="0" collapsed="false">
      <c r="A3" s="12" t="str">
        <f aca="false">1_原始数据!A3</f>
        <v>安全 S</v>
      </c>
      <c r="B3" s="13" t="str">
        <f aca="false">1_原始数据!B3</f>
        <v>城乡居民人均可支配收入比</v>
      </c>
      <c r="C3" s="12" t="str">
        <f aca="false">1_原始数据!C3</f>
        <v>-</v>
      </c>
      <c r="E3" s="14" t="n">
        <f aca="false">0.01+0.99*IF($C3="+",(1_原始数据!E3-$P3)/($Q3-$P3),($Q3-1_原始数据!E3)/($Q3-$P3))</f>
        <v>0.01</v>
      </c>
      <c r="F3" s="14" t="n">
        <f aca="false">0.01+0.99*IF($C3="+",(1_原始数据!F3-$P3)/($Q3-$P3),($Q3-1_原始数据!F3)/($Q3-$P3))</f>
        <v>0.17726711994767</v>
      </c>
      <c r="G3" s="14" t="n">
        <f aca="false">0.01+0.99*IF($C3="+",(1_原始数据!G3-$P3)/($Q3-$P3),($Q3-1_原始数据!G3)/($Q3-$P3))</f>
        <v>0.210347715739211</v>
      </c>
      <c r="H3" s="14" t="n">
        <f aca="false">0.01+0.99*IF($C3="+",(1_原始数据!H3-$P3)/($Q3-$P3),($Q3-1_原始数据!H3)/($Q3-$P3))</f>
        <v>0.330245831766552</v>
      </c>
      <c r="I3" s="14" t="n">
        <f aca="false">0.01+0.99*IF($C3="+",(1_原始数据!I3-$P3)/($Q3-$P3),($Q3-1_原始数据!I3)/($Q3-$P3))</f>
        <v>0.461857186120392</v>
      </c>
      <c r="J3" s="14" t="n">
        <f aca="false">0.01+0.99*IF($C3="+",(1_原始数据!J3-$P3)/($Q3-$P3),($Q3-1_原始数据!J3)/($Q3-$P3))</f>
        <v>0.601124614495335</v>
      </c>
      <c r="K3" s="14" t="n">
        <f aca="false">0.01+0.99*IF($C3="+",(1_原始数据!K3-$P3)/($Q3-$P3),($Q3-1_原始数据!K3)/($Q3-$P3))</f>
        <v>0.731345387340711</v>
      </c>
      <c r="L3" s="14" t="n">
        <f aca="false">0.01+0.99*IF($C3="+",(1_原始数据!L3-$P3)/($Q3-$P3),($Q3-1_原始数据!L3)/($Q3-$P3))</f>
        <v>0.869080398986612</v>
      </c>
      <c r="M3" s="14" t="n">
        <f aca="false">0.01+0.99*IF($C3="+",(1_原始数据!M3-$P3)/($Q3-$P3),($Q3-1_原始数据!M3)/($Q3-$P3))</f>
        <v>0.936376851662172</v>
      </c>
      <c r="N3" s="14" t="n">
        <f aca="false">0.01+0.99*IF($C3="+",(1_原始数据!N3-$P3)/($Q3-$P3),($Q3-1_原始数据!N3)/($Q3-$P3))</f>
        <v>1</v>
      </c>
      <c r="P3" s="15" t="n">
        <f aca="false">MIN(1_原始数据!E3:N3)</f>
        <v>2.5359730849</v>
      </c>
      <c r="Q3" s="15" t="n">
        <f aca="false">MAX(1_原始数据!E3:N3)</f>
        <v>3.0571805586</v>
      </c>
    </row>
    <row r="4" customFormat="false" ht="15" hidden="false" customHeight="false" outlineLevel="0" collapsed="false">
      <c r="A4" s="12" t="str">
        <f aca="false">1_原始数据!A4</f>
        <v>安全 S</v>
      </c>
      <c r="B4" s="13" t="str">
        <f aca="false">1_原始数据!B4</f>
        <v>居民医保人均财政补助标准</v>
      </c>
      <c r="C4" s="12" t="str">
        <f aca="false">1_原始数据!C4</f>
        <v>+</v>
      </c>
      <c r="E4" s="14" t="n">
        <f aca="false">0.01+0.99*IF($C4="+",(1_原始数据!E4-$P4)/($Q4-$P4),($Q4-1_原始数据!E4)/($Q4-$P4))</f>
        <v>0.01</v>
      </c>
      <c r="F4" s="14" t="n">
        <f aca="false">0.01+0.99*IF($C4="+",(1_原始数据!F4-$P4)/($Q4-$P4),($Q4-1_原始数据!F4)/($Q4-$P4))</f>
        <v>0.104285714285714</v>
      </c>
      <c r="G4" s="14" t="n">
        <f aca="false">0.01+0.99*IF($C4="+",(1_原始数据!G4-$P4)/($Q4-$P4),($Q4-1_原始数据!G4)/($Q4-$P4))</f>
        <v>0.308571428571429</v>
      </c>
      <c r="H4" s="14" t="n">
        <f aca="false">0.01+0.99*IF($C4="+",(1_原始数据!H4-$P4)/($Q4-$P4),($Q4-1_原始数据!H4)/($Q4-$P4))</f>
        <v>0.308571428571429</v>
      </c>
      <c r="I4" s="14" t="n">
        <f aca="false">0.01+0.99*IF($C4="+",(1_原始数据!I4-$P4)/($Q4-$P4),($Q4-1_原始数据!I4)/($Q4-$P4))</f>
        <v>0.418571428571429</v>
      </c>
      <c r="J4" s="14" t="n">
        <f aca="false">0.01+0.99*IF($C4="+",(1_原始数据!J4-$P4)/($Q4-$P4),($Q4-1_原始数据!J4)/($Q4-$P4))</f>
        <v>0.512857142857143</v>
      </c>
      <c r="K4" s="14" t="n">
        <f aca="false">0.01+0.99*IF($C4="+",(1_原始数据!K4-$P4)/($Q4-$P4),($Q4-1_原始数据!K4)/($Q4-$P4))</f>
        <v>0.622857142857143</v>
      </c>
      <c r="L4" s="14" t="n">
        <f aca="false">0.01+0.99*IF($C4="+",(1_原始数据!L4-$P4)/($Q4-$P4),($Q4-1_原始数据!L4)/($Q4-$P4))</f>
        <v>0.811428571428571</v>
      </c>
      <c r="M4" s="14" t="n">
        <f aca="false">0.01+0.99*IF($C4="+",(1_原始数据!M4-$P4)/($Q4-$P4),($Q4-1_原始数据!M4)/($Q4-$P4))</f>
        <v>0.905714285714286</v>
      </c>
      <c r="N4" s="14" t="n">
        <f aca="false">0.01+0.99*IF($C4="+",(1_原始数据!N4-$P4)/($Q4-$P4),($Q4-1_原始数据!N4)/($Q4-$P4))</f>
        <v>1</v>
      </c>
      <c r="P4" s="15" t="n">
        <f aca="false">MIN(1_原始数据!E4:N4)</f>
        <v>420</v>
      </c>
      <c r="Q4" s="15" t="n">
        <f aca="false">MAX(1_原始数据!E4:N4)</f>
        <v>735</v>
      </c>
    </row>
    <row r="5" customFormat="false" ht="15" hidden="false" customHeight="false" outlineLevel="0" collapsed="false">
      <c r="A5" s="12" t="str">
        <f aca="false">1_原始数据!A5</f>
        <v>安全 S</v>
      </c>
      <c r="B5" s="13" t="str">
        <f aca="false">1_原始数据!B5</f>
        <v>基本养老保险参保率</v>
      </c>
      <c r="C5" s="12" t="str">
        <f aca="false">1_原始数据!C5</f>
        <v>+</v>
      </c>
      <c r="E5" s="14" t="n">
        <f aca="false">0.01+0.99*IF($C5="+",(1_原始数据!E5-$P5)/($Q5-$P5),($Q5-1_原始数据!E5)/($Q5-$P5))</f>
        <v>0.01</v>
      </c>
      <c r="F5" s="14" t="n">
        <f aca="false">0.01+0.99*IF($C5="+",(1_原始数据!F5-$P5)/($Q5-$P5),($Q5-1_原始数据!F5)/($Q5-$P5))</f>
        <v>0.352</v>
      </c>
      <c r="G5" s="14" t="n">
        <f aca="false">0.01+0.99*IF($C5="+",(1_原始数据!G5-$P5)/($Q5-$P5),($Q5-1_原始数据!G5)/($Q5-$P5))</f>
        <v>0.5185</v>
      </c>
      <c r="H5" s="14" t="n">
        <f aca="false">0.01+0.99*IF($C5="+",(1_原始数据!H5-$P5)/($Q5-$P5),($Q5-1_原始数据!H5)/($Q5-$P5))</f>
        <v>0.649000000000001</v>
      </c>
      <c r="I5" s="14" t="n">
        <f aca="false">0.01+0.99*IF($C5="+",(1_原始数据!I5-$P5)/($Q5-$P5),($Q5-1_原始数据!I5)/($Q5-$P5))</f>
        <v>0.784</v>
      </c>
      <c r="J5" s="14" t="n">
        <f aca="false">0.01+0.99*IF($C5="+",(1_原始数据!J5-$P5)/($Q5-$P5),($Q5-1_原始数据!J5)/($Q5-$P5))</f>
        <v>0.883</v>
      </c>
      <c r="K5" s="14" t="n">
        <f aca="false">0.01+0.99*IF($C5="+",(1_原始数据!K5-$P5)/($Q5-$P5),($Q5-1_原始数据!K5)/($Q5-$P5))</f>
        <v>0.91</v>
      </c>
      <c r="L5" s="14" t="n">
        <f aca="false">0.01+0.99*IF($C5="+",(1_原始数据!L5-$P5)/($Q5-$P5),($Q5-1_原始数据!L5)/($Q5-$P5))</f>
        <v>0.937</v>
      </c>
      <c r="M5" s="14" t="n">
        <f aca="false">0.01+0.99*IF($C5="+",(1_原始数据!M5-$P5)/($Q5-$P5),($Q5-1_原始数据!M5)/($Q5-$P5))</f>
        <v>0.9829</v>
      </c>
      <c r="N5" s="14" t="n">
        <f aca="false">0.01+0.99*IF($C5="+",(1_原始数据!N5-$P5)/($Q5-$P5),($Q5-1_原始数据!N5)/($Q5-$P5))</f>
        <v>1</v>
      </c>
      <c r="P5" s="15" t="n">
        <f aca="false">MIN(1_原始数据!E5:N5)</f>
        <v>0.855</v>
      </c>
      <c r="Q5" s="15" t="n">
        <f aca="false">MAX(1_原始数据!E5:N5)</f>
        <v>0.965</v>
      </c>
    </row>
    <row r="6" customFormat="false" ht="15" hidden="false" customHeight="false" outlineLevel="0" collapsed="false">
      <c r="A6" s="12" t="str">
        <f aca="false">1_原始数据!A6</f>
        <v>发展 D</v>
      </c>
      <c r="B6" s="13" t="str">
        <f aca="false">1_原始数据!B6</f>
        <v>人均GDP相对全国水平</v>
      </c>
      <c r="C6" s="12" t="str">
        <f aca="false">1_原始数据!C6</f>
        <v>+</v>
      </c>
      <c r="E6" s="14" t="n">
        <f aca="false">0.01+0.99*IF($C6="+",(1_原始数据!E6-$P6)/($Q6-$P6),($Q6-1_原始数据!E6)/($Q6-$P6))</f>
        <v>0.01</v>
      </c>
      <c r="F6" s="14" t="n">
        <f aca="false">0.01+0.99*IF($C6="+",(1_原始数据!F6-$P6)/($Q6-$P6),($Q6-1_原始数据!F6)/($Q6-$P6))</f>
        <v>0.0387364527193171</v>
      </c>
      <c r="G6" s="14" t="n">
        <f aca="false">0.01+0.99*IF($C6="+",(1_原始数据!G6-$P6)/($Q6-$P6),($Q6-1_原始数据!G6)/($Q6-$P6))</f>
        <v>0.0586581248557787</v>
      </c>
      <c r="H6" s="14" t="n">
        <f aca="false">0.01+0.99*IF($C6="+",(1_原始数据!H6-$P6)/($Q6-$P6),($Q6-1_原始数据!H6)/($Q6-$P6))</f>
        <v>0.274205008863855</v>
      </c>
      <c r="I6" s="14" t="n">
        <f aca="false">0.01+0.99*IF($C6="+",(1_原始数据!I6-$P6)/($Q6-$P6),($Q6-1_原始数据!I6)/($Q6-$P6))</f>
        <v>0.461484108687047</v>
      </c>
      <c r="J6" s="14" t="n">
        <f aca="false">0.01+0.99*IF($C6="+",(1_原始数据!J6-$P6)/($Q6-$P6),($Q6-1_原始数据!J6)/($Q6-$P6))</f>
        <v>0.189334498328451</v>
      </c>
      <c r="K6" s="14" t="n">
        <f aca="false">0.01+0.99*IF($C6="+",(1_原始数据!K6-$P6)/($Q6-$P6),($Q6-1_原始数据!K6)/($Q6-$P6))</f>
        <v>0.196572032354128</v>
      </c>
      <c r="L6" s="14" t="n">
        <f aca="false">0.01+0.99*IF($C6="+",(1_原始数据!L6-$P6)/($Q6-$P6),($Q6-1_原始数据!L6)/($Q6-$P6))</f>
        <v>0.495662775396375</v>
      </c>
      <c r="M6" s="14" t="n">
        <f aca="false">0.01+0.99*IF($C6="+",(1_原始数据!M6-$P6)/($Q6-$P6),($Q6-1_原始数据!M6)/($Q6-$P6))</f>
        <v>0.806862455403894</v>
      </c>
      <c r="N6" s="14" t="n">
        <f aca="false">0.01+0.99*IF($C6="+",(1_原始数据!N6-$P6)/($Q6-$P6),($Q6-1_原始数据!N6)/($Q6-$P6))</f>
        <v>1</v>
      </c>
      <c r="P6" s="15" t="n">
        <f aca="false">MIN(1_原始数据!E6:N6)</f>
        <v>0.6541844077</v>
      </c>
      <c r="Q6" s="15" t="n">
        <f aca="false">MAX(1_原始数据!E6:N6)</f>
        <v>0.8177</v>
      </c>
    </row>
    <row r="7" customFormat="false" ht="15" hidden="false" customHeight="false" outlineLevel="0" collapsed="false">
      <c r="A7" s="12" t="str">
        <f aca="false">1_原始数据!A7</f>
        <v>发展 D</v>
      </c>
      <c r="B7" s="13" t="str">
        <f aca="false">1_原始数据!B7</f>
        <v>第三产业增加值比重</v>
      </c>
      <c r="C7" s="12" t="str">
        <f aca="false">1_原始数据!C7</f>
        <v>+</v>
      </c>
      <c r="E7" s="14" t="n">
        <f aca="false">0.01+0.99*IF($C7="+",(1_原始数据!E7-$P7)/($Q7-$P7),($Q7-1_原始数据!E7)/($Q7-$P7))</f>
        <v>1</v>
      </c>
      <c r="F7" s="14" t="n">
        <f aca="false">0.01+0.99*IF($C7="+",(1_原始数据!F7-$P7)/($Q7-$P7),($Q7-1_原始数据!F7)/($Q7-$P7))</f>
        <v>0.861052631578947</v>
      </c>
      <c r="G7" s="14" t="n">
        <f aca="false">0.01+0.99*IF($C7="+",(1_原始数据!G7-$P7)/($Q7-$P7),($Q7-1_原始数据!G7)/($Q7-$P7))</f>
        <v>0.461578947368421</v>
      </c>
      <c r="H7" s="14" t="n">
        <f aca="false">0.01+0.99*IF($C7="+",(1_原始数据!H7-$P7)/($Q7-$P7),($Q7-1_原始数据!H7)/($Q7-$P7))</f>
        <v>0.548421052631579</v>
      </c>
      <c r="I7" s="14" t="n">
        <f aca="false">0.01+0.99*IF($C7="+",(1_原始数据!I7-$P7)/($Q7-$P7),($Q7-1_原始数据!I7)/($Q7-$P7))</f>
        <v>0.635263157894737</v>
      </c>
      <c r="J7" s="14" t="n">
        <f aca="false">0.01+0.99*IF($C7="+",(1_原始数据!J7-$P7)/($Q7-$P7),($Q7-1_原始数据!J7)/($Q7-$P7))</f>
        <v>0.861052631578947</v>
      </c>
      <c r="K7" s="14" t="n">
        <f aca="false">0.01+0.99*IF($C7="+",(1_原始数据!K7-$P7)/($Q7-$P7),($Q7-1_原始数据!K7)/($Q7-$P7))</f>
        <v>0.826315789473684</v>
      </c>
      <c r="L7" s="14" t="n">
        <f aca="false">0.01+0.99*IF($C7="+",(1_原始数据!L7-$P7)/($Q7-$P7),($Q7-1_原始数据!L7)/($Q7-$P7))</f>
        <v>0.878421052631578</v>
      </c>
      <c r="M7" s="14" t="n">
        <f aca="false">0.01+0.99*IF($C7="+",(1_原始数据!M7-$P7)/($Q7-$P7),($Q7-1_原始数据!M7)/($Q7-$P7))</f>
        <v>0.322631578947368</v>
      </c>
      <c r="N7" s="14" t="n">
        <f aca="false">0.01+0.99*IF($C7="+",(1_原始数据!N7-$P7)/($Q7-$P7),($Q7-1_原始数据!N7)/($Q7-$P7))</f>
        <v>0.01</v>
      </c>
      <c r="P7" s="15" t="n">
        <f aca="false">MIN(1_原始数据!E7:N7)</f>
        <v>52.5</v>
      </c>
      <c r="Q7" s="15" t="n">
        <f aca="false">MAX(1_原始数据!E7:N7)</f>
        <v>58.2</v>
      </c>
    </row>
    <row r="8" customFormat="false" ht="15" hidden="false" customHeight="false" outlineLevel="0" collapsed="false">
      <c r="A8" s="12" t="str">
        <f aca="false">1_原始数据!A8</f>
        <v>发展 D</v>
      </c>
      <c r="B8" s="13" t="str">
        <f aca="false">1_原始数据!B8</f>
        <v>地区生产总值</v>
      </c>
      <c r="C8" s="12" t="str">
        <f aca="false">1_原始数据!C8</f>
        <v>+</v>
      </c>
      <c r="E8" s="14" t="n">
        <f aca="false">0.01+0.99*IF($C8="+",(1_原始数据!E8-$P8)/($Q8-$P8),($Q8-1_原始数据!E8)/($Q8-$P8))</f>
        <v>0.01</v>
      </c>
      <c r="F8" s="14" t="n">
        <f aca="false">0.01+0.99*IF($C8="+",(1_原始数据!F8-$P8)/($Q8-$P8),($Q8-1_原始数据!F8)/($Q8-$P8))</f>
        <v>0.109075011856027</v>
      </c>
      <c r="G8" s="14" t="n">
        <f aca="false">0.01+0.99*IF($C8="+",(1_原始数据!G8-$P8)/($Q8-$P8),($Q8-1_原始数据!G8)/($Q8-$P8))</f>
        <v>0.218360270589967</v>
      </c>
      <c r="H8" s="14" t="n">
        <f aca="false">0.01+0.99*IF($C8="+",(1_原始数据!H8-$P8)/($Q8-$P8),($Q8-1_原始数据!H8)/($Q8-$P8))</f>
        <v>0.308406877040736</v>
      </c>
      <c r="I8" s="14" t="n">
        <f aca="false">0.01+0.99*IF($C8="+",(1_原始数据!I8-$P8)/($Q8-$P8),($Q8-1_原始数据!I8)/($Q8-$P8))</f>
        <v>0.419683457708053</v>
      </c>
      <c r="J8" s="14" t="n">
        <f aca="false">0.01+0.99*IF($C8="+",(1_原始数据!J8-$P8)/($Q8-$P8),($Q8-1_原始数据!J8)/($Q8-$P8))</f>
        <v>0.521429755084464</v>
      </c>
      <c r="K8" s="14" t="n">
        <f aca="false">0.01+0.99*IF($C8="+",(1_原始数据!K8-$P8)/($Q8-$P8),($Q8-1_原始数据!K8)/($Q8-$P8))</f>
        <v>0.570165875356362</v>
      </c>
      <c r="L8" s="14" t="n">
        <f aca="false">0.01+0.99*IF($C8="+",(1_原始数据!L8-$P8)/($Q8-$P8),($Q8-1_原始数据!L8)/($Q8-$P8))</f>
        <v>0.73069664379044</v>
      </c>
      <c r="M8" s="14" t="n">
        <f aca="false">0.01+0.99*IF($C8="+",(1_原始数据!M8-$P8)/($Q8-$P8),($Q8-1_原始数据!M8)/($Q8-$P8))</f>
        <v>0.868961303018245</v>
      </c>
      <c r="N8" s="14" t="n">
        <f aca="false">0.01+0.99*IF($C8="+",(1_原始数据!N8-$P8)/($Q8-$P8),($Q8-1_原始数据!N8)/($Q8-$P8))</f>
        <v>1</v>
      </c>
      <c r="P8" s="15" t="n">
        <f aca="false">MIN(1_原始数据!E8:N8)</f>
        <v>1197.38</v>
      </c>
      <c r="Q8" s="15" t="n">
        <f aca="false">MAX(1_原始数据!E8:N8)</f>
        <v>3031.89</v>
      </c>
    </row>
    <row r="9" customFormat="false" ht="15" hidden="false" customHeight="false" outlineLevel="0" collapsed="false">
      <c r="A9" s="12" t="str">
        <f aca="false">1_原始数据!A9</f>
        <v>发展 D</v>
      </c>
      <c r="B9" s="13" t="str">
        <f aca="false">1_原始数据!B9</f>
        <v>农村居民人均可支配收入</v>
      </c>
      <c r="C9" s="12" t="str">
        <f aca="false">1_原始数据!C9</f>
        <v>+</v>
      </c>
      <c r="E9" s="14" t="n">
        <f aca="false">0.01+0.99*IF($C9="+",(1_原始数据!E9-$P9)/($Q9-$P9),($Q9-1_原始数据!E9)/($Q9-$P9))</f>
        <v>0.01</v>
      </c>
      <c r="F9" s="14" t="n">
        <f aca="false">0.01+0.99*IF($C9="+",(1_原始数据!F9-$P9)/($Q9-$P9),($Q9-1_原始数据!F9)/($Q9-$P9))</f>
        <v>0.0968445706174592</v>
      </c>
      <c r="G9" s="14" t="n">
        <f aca="false">0.01+0.99*IF($C9="+",(1_原始数据!G9-$P9)/($Q9-$P9),($Q9-1_原始数据!G9)/($Q9-$P9))</f>
        <v>0.175538679914833</v>
      </c>
      <c r="H9" s="14" t="n">
        <f aca="false">0.01+0.99*IF($C9="+",(1_原始数据!H9-$P9)/($Q9-$P9),($Q9-1_原始数据!H9)/($Q9-$P9))</f>
        <v>0.281002838892832</v>
      </c>
      <c r="I9" s="14" t="n">
        <f aca="false">0.01+0.99*IF($C9="+",(1_原始数据!I9-$P9)/($Q9-$P9),($Q9-1_原始数据!I9)/($Q9-$P9))</f>
        <v>0.396725337118524</v>
      </c>
      <c r="J9" s="14" t="n">
        <f aca="false">0.01+0.99*IF($C9="+",(1_原始数据!J9-$P9)/($Q9-$P9),($Q9-1_原始数据!J9)/($Q9-$P9))</f>
        <v>0.560929027679205</v>
      </c>
      <c r="K9" s="14" t="n">
        <f aca="false">0.01+0.99*IF($C9="+",(1_原始数据!K9-$P9)/($Q9-$P9),($Q9-1_原始数据!K9)/($Q9-$P9))</f>
        <v>0.650443577004968</v>
      </c>
      <c r="L9" s="14" t="n">
        <f aca="false">0.01+0.99*IF($C9="+",(1_原始数据!L9-$P9)/($Q9-$P9),($Q9-1_原始数据!L9)/($Q9-$P9))</f>
        <v>0.770943931866572</v>
      </c>
      <c r="M9" s="14" t="n">
        <f aca="false">0.01+0.99*IF($C9="+",(1_原始数据!M9-$P9)/($Q9-$P9),($Q9-1_原始数据!M9)/($Q9-$P9))</f>
        <v>0.887158268275373</v>
      </c>
      <c r="N9" s="14" t="n">
        <f aca="false">0.01+0.99*IF($C9="+",(1_原始数据!N9-$P9)/($Q9-$P9),($Q9-1_原始数据!N9)/($Q9-$P9))</f>
        <v>1</v>
      </c>
      <c r="P9" s="15" t="n">
        <f aca="false">MIN(1_原始数据!E9:N9)</f>
        <v>9094</v>
      </c>
      <c r="Q9" s="15" t="n">
        <f aca="false">MAX(1_原始数据!E9:N9)</f>
        <v>23184</v>
      </c>
    </row>
    <row r="10" customFormat="false" ht="15" hidden="false" customHeight="false" outlineLevel="0" collapsed="false">
      <c r="A10" s="12" t="str">
        <f aca="false">1_原始数据!A10</f>
        <v>发展 D</v>
      </c>
      <c r="B10" s="13" t="str">
        <f aca="false">1_原始数据!B10</f>
        <v>货物进出口总额</v>
      </c>
      <c r="C10" s="12" t="str">
        <f aca="false">1_原始数据!C10</f>
        <v>+</v>
      </c>
      <c r="E10" s="14" t="n">
        <f aca="false">0.01+0.99*IF($C10="+",(1_原始数据!E10-$P10)/($Q10-$P10),($Q10-1_原始数据!E10)/($Q10-$P10))</f>
        <v>0.295004269854825</v>
      </c>
      <c r="F10" s="14" t="n">
        <f aca="false">0.01+0.99*IF($C10="+",(1_原始数据!F10-$P10)/($Q10-$P10),($Q10-1_原始数据!F10)/($Q10-$P10))</f>
        <v>0.365644748078565</v>
      </c>
      <c r="G10" s="14" t="n">
        <f aca="false">0.01+0.99*IF($C10="+",(1_原始数据!G10-$P10)/($Q10-$P10),($Q10-1_原始数据!G10)/($Q10-$P10))</f>
        <v>0.25602049530316</v>
      </c>
      <c r="H10" s="14" t="n">
        <f aca="false">0.01+0.99*IF($C10="+",(1_原始数据!H10-$P10)/($Q10-$P10),($Q10-1_原始数据!H10)/($Q10-$P10))</f>
        <v>0.267668659265585</v>
      </c>
      <c r="I10" s="14" t="n">
        <f aca="false">0.01+0.99*IF($C10="+",(1_原始数据!I10-$P10)/($Q10-$P10),($Q10-1_原始数据!I10)/($Q10-$P10))</f>
        <v>0.01</v>
      </c>
      <c r="J10" s="14" t="n">
        <f aca="false">0.01+0.99*IF($C10="+",(1_原始数据!J10-$P10)/($Q10-$P10),($Q10-1_原始数据!J10)/($Q10-$P10))</f>
        <v>0.186883005977797</v>
      </c>
      <c r="K10" s="14" t="n">
        <f aca="false">0.01+0.99*IF($C10="+",(1_原始数据!K10-$P10)/($Q10-$P10),($Q10-1_原始数据!K10)/($Q10-$P10))</f>
        <v>0.241836037574722</v>
      </c>
      <c r="L10" s="14" t="n">
        <f aca="false">0.01+0.99*IF($C10="+",(1_原始数据!L10-$P10)/($Q10-$P10),($Q10-1_原始数据!L10)/($Q10-$P10))</f>
        <v>0.840871050384287</v>
      </c>
      <c r="M10" s="14" t="n">
        <f aca="false">0.01+0.99*IF($C10="+",(1_原始数据!M10-$P10)/($Q10-$P10),($Q10-1_原始数据!M10)/($Q10-$P10))</f>
        <v>1</v>
      </c>
      <c r="N10" s="14" t="n">
        <f aca="false">0.01+0.99*IF($C10="+",(1_原始数据!N10-$P10)/($Q10-$P10),($Q10-1_原始数据!N10)/($Q10-$P10))</f>
        <v>0.606122971818958</v>
      </c>
      <c r="P10" s="15" t="n">
        <f aca="false">MIN(1_原始数据!E10:N10)</f>
        <v>21.33</v>
      </c>
      <c r="Q10" s="15" t="n">
        <f aca="false">MAX(1_原始数据!E10:N10)</f>
        <v>126.72</v>
      </c>
    </row>
    <row r="11" customFormat="false" ht="15" hidden="false" customHeight="false" outlineLevel="0" collapsed="false">
      <c r="A11" s="12" t="str">
        <f aca="false">1_原始数据!A11</f>
        <v>发展 D</v>
      </c>
      <c r="B11" s="13" t="str">
        <f aca="false">1_原始数据!B11</f>
        <v>接待游客总人数</v>
      </c>
      <c r="C11" s="12" t="str">
        <f aca="false">1_原始数据!C11</f>
        <v>+</v>
      </c>
      <c r="E11" s="14" t="n">
        <f aca="false">0.01+0.99*IF($C11="+",(1_原始数据!E11-$P11)/($Q11-$P11),($Q11-1_原始数据!E11)/($Q11-$P11))</f>
        <v>0.01</v>
      </c>
      <c r="F11" s="14" t="n">
        <f aca="false">0.01+0.99*IF($C11="+",(1_原始数据!F11-$P11)/($Q11-$P11),($Q11-1_原始数据!F11)/($Q11-$P11))</f>
        <v>0.0610853759277593</v>
      </c>
      <c r="G11" s="14" t="n">
        <f aca="false">0.01+0.99*IF($C11="+",(1_原始数据!G11-$P11)/($Q11-$P11),($Q11-1_原始数据!G11)/($Q11-$P11))</f>
        <v>0.229080911332379</v>
      </c>
      <c r="H11" s="14" t="n">
        <f aca="false">0.01+0.99*IF($C11="+",(1_原始数据!H11-$P11)/($Q11-$P11),($Q11-1_原始数据!H11)/($Q11-$P11))</f>
        <v>0.362973748431401</v>
      </c>
      <c r="I11" s="14" t="n">
        <f aca="false">0.01+0.99*IF($C11="+",(1_原始数据!I11-$P11)/($Q11-$P11),($Q11-1_原始数据!I11)/($Q11-$P11))</f>
        <v>0.257440172530127</v>
      </c>
      <c r="J11" s="14" t="n">
        <f aca="false">0.01+0.99*IF($C11="+",(1_原始数据!J11-$P11)/($Q11-$P11),($Q11-1_原始数据!J11)/($Q11-$P11))</f>
        <v>0.392375568321552</v>
      </c>
      <c r="K11" s="14" t="n">
        <f aca="false">0.01+0.99*IF($C11="+",(1_原始数据!K11-$P11)/($Q11-$P11),($Q11-1_原始数据!K11)/($Q11-$P11))</f>
        <v>0.152924183855569</v>
      </c>
      <c r="L11" s="14" t="n">
        <f aca="false">0.01+0.99*IF($C11="+",(1_原始数据!L11-$P11)/($Q11-$P11),($Q11-1_原始数据!L11)/($Q11-$P11))</f>
        <v>0.676122171004092</v>
      </c>
      <c r="M11" s="14" t="n">
        <f aca="false">0.01+0.99*IF($C11="+",(1_原始数据!M11-$P11)/($Q11-$P11),($Q11-1_原始数据!M11)/($Q11-$P11))</f>
        <v>0.857606459790265</v>
      </c>
      <c r="N11" s="14" t="n">
        <f aca="false">0.01+0.99*IF($C11="+",(1_原始数据!N11-$P11)/($Q11-$P11),($Q11-1_原始数据!N11)/($Q11-$P11))</f>
        <v>1</v>
      </c>
      <c r="P11" s="15" t="n">
        <f aca="false">MIN(1_原始数据!E11:N11)</f>
        <v>2315.94</v>
      </c>
      <c r="Q11" s="15" t="n">
        <f aca="false">MAX(1_原始数据!E11:N11)</f>
        <v>7073.37</v>
      </c>
    </row>
    <row r="12" customFormat="false" ht="15" hidden="false" customHeight="false" outlineLevel="0" collapsed="false">
      <c r="A12" s="12" t="str">
        <f aca="false">1_原始数据!A12</f>
        <v>发展 D</v>
      </c>
      <c r="B12" s="13" t="str">
        <f aca="false">1_原始数据!B12</f>
        <v>清洁能源发电量</v>
      </c>
      <c r="C12" s="12" t="str">
        <f aca="false">1_原始数据!C12</f>
        <v>+</v>
      </c>
      <c r="E12" s="14" t="n">
        <f aca="false">0.01+0.99*IF($C12="+",(1_原始数据!E12-$P12)/($Q12-$P12),($Q12-1_原始数据!E12)/($Q12-$P12))</f>
        <v>0.01</v>
      </c>
      <c r="F12" s="14" t="n">
        <f aca="false">0.01+0.99*IF($C12="+",(1_原始数据!F12-$P12)/($Q12-$P12),($Q12-1_原始数据!F12)/($Q12-$P12))</f>
        <v>0.0213507703332139</v>
      </c>
      <c r="G12" s="14" t="n">
        <f aca="false">0.01+0.99*IF($C12="+",(1_原始数据!G12-$P12)/($Q12-$P12),($Q12-1_原始数据!G12)/($Q12-$P12))</f>
        <v>0.119605876030097</v>
      </c>
      <c r="H12" s="14" t="n">
        <f aca="false">0.01+0.99*IF($C12="+",(1_原始数据!H12-$P12)/($Q12-$P12),($Q12-1_原始数据!H12)/($Q12-$P12))</f>
        <v>0.147628090290219</v>
      </c>
      <c r="I12" s="14" t="n">
        <f aca="false">0.01+0.99*IF($C12="+",(1_原始数据!I12-$P12)/($Q12-$P12),($Q12-1_原始数据!I12)/($Q12-$P12))</f>
        <v>0.154722321748477</v>
      </c>
      <c r="J12" s="14" t="n">
        <f aca="false">0.01+0.99*IF($C12="+",(1_原始数据!J12-$P12)/($Q12-$P12),($Q12-1_原始数据!J12)/($Q12-$P12))</f>
        <v>0.276211035471157</v>
      </c>
      <c r="K12" s="14" t="n">
        <f aca="false">0.01+0.99*IF($C12="+",(1_原始数据!K12-$P12)/($Q12-$P12),($Q12-1_原始数据!K12)/($Q12-$P12))</f>
        <v>0.544905051952705</v>
      </c>
      <c r="L12" s="14" t="n">
        <f aca="false">0.01+0.99*IF($C12="+",(1_原始数据!L12-$P12)/($Q12-$P12),($Q12-1_原始数据!L12)/($Q12-$P12))</f>
        <v>0.743543532783949</v>
      </c>
      <c r="M12" s="14" t="n">
        <f aca="false">0.01+0.99*IF($C12="+",(1_原始数据!M12-$P12)/($Q12-$P12),($Q12-1_原始数据!M12)/($Q12-$P12))</f>
        <v>0.804819957004658</v>
      </c>
      <c r="N12" s="14" t="n">
        <f aca="false">0.01+0.99*IF($C12="+",(1_原始数据!N12-$P12)/($Q12-$P12),($Q12-1_原始数据!N12)/($Q12-$P12))</f>
        <v>1</v>
      </c>
      <c r="P12" s="15" t="n">
        <f aca="false">MIN(1_原始数据!E12:N12)</f>
        <v>50.78</v>
      </c>
      <c r="Q12" s="15" t="n">
        <f aca="false">MAX(1_原始数据!E12:N12)</f>
        <v>162.42</v>
      </c>
    </row>
    <row r="13" customFormat="false" ht="15" hidden="false" customHeight="false" outlineLevel="0" collapsed="false">
      <c r="A13" s="12" t="str">
        <f aca="false">1_原始数据!A13</f>
        <v>生态 E</v>
      </c>
      <c r="B13" s="13" t="str">
        <f aca="false">1_原始数据!B13</f>
        <v>单位GDP能耗指数</v>
      </c>
      <c r="C13" s="12" t="str">
        <f aca="false">1_原始数据!C13</f>
        <v>-</v>
      </c>
      <c r="E13" s="14" t="n">
        <f aca="false">0.01+0.99*IF($C13="+",(1_原始数据!E13-$P13)/($Q13-$P13),($Q13-1_原始数据!E13)/($Q13-$P13))</f>
        <v>0.01</v>
      </c>
      <c r="F13" s="14" t="n">
        <f aca="false">0.01+0.99*IF($C13="+",(1_原始数据!F13-$P13)/($Q13-$P13),($Q13-1_原始数据!F13)/($Q13-$P13))</f>
        <v>0.156490615451768</v>
      </c>
      <c r="G13" s="14" t="n">
        <f aca="false">0.01+0.99*IF($C13="+",(1_原始数据!G13-$P13)/($Q13-$P13),($Q13-1_原始数据!G13)/($Q13-$P13))</f>
        <v>0.28180707114797</v>
      </c>
      <c r="H13" s="14" t="n">
        <f aca="false">0.01+0.99*IF($C13="+",(1_原始数据!H13-$P13)/($Q13-$P13),($Q13-1_原始数据!H13)/($Q13-$P13))</f>
        <v>0.391134875600174</v>
      </c>
      <c r="I13" s="14" t="n">
        <f aca="false">0.01+0.99*IF($C13="+",(1_原始数据!I13-$P13)/($Q13-$P13),($Q13-1_原始数据!I13)/($Q13-$P13))</f>
        <v>0.448175469227412</v>
      </c>
      <c r="J13" s="14" t="n">
        <f aca="false">0.01+0.99*IF($C13="+",(1_原始数据!J13-$P13)/($Q13-$P13),($Q13-1_原始数据!J13)/($Q13-$P13))</f>
        <v>0.560528153644697</v>
      </c>
      <c r="K13" s="14" t="n">
        <f aca="false">0.01+0.99*IF($C13="+",(1_原始数据!K13-$P13)/($Q13-$P13),($Q13-1_原始数据!K13)/($Q13-$P13))</f>
        <v>0.68411610650371</v>
      </c>
      <c r="L13" s="14" t="n">
        <f aca="false">0.01+0.99*IF($C13="+",(1_原始数据!L13-$P13)/($Q13-$P13),($Q13-1_原始数据!L13)/($Q13-$P13))</f>
        <v>0.785665648188564</v>
      </c>
      <c r="M13" s="14" t="n">
        <f aca="false">0.01+0.99*IF($C13="+",(1_原始数据!M13-$P13)/($Q13-$P13),($Q13-1_原始数据!M13)/($Q13-$P13))</f>
        <v>0.891104321257093</v>
      </c>
      <c r="N13" s="14" t="n">
        <f aca="false">0.01+0.99*IF($C13="+",(1_原始数据!N13-$P13)/($Q13-$P13),($Q13-1_原始数据!N13)/($Q13-$P13))</f>
        <v>1</v>
      </c>
      <c r="P13" s="15" t="n">
        <f aca="false">MIN(1_原始数据!E13:N13)</f>
        <v>73.89</v>
      </c>
      <c r="Q13" s="15" t="n">
        <f aca="false">MAX(1_原始数据!E13:N13)</f>
        <v>96.8</v>
      </c>
    </row>
    <row r="14" customFormat="false" ht="15" hidden="false" customHeight="false" outlineLevel="0" collapsed="false">
      <c r="A14" s="12" t="str">
        <f aca="false">1_原始数据!A14</f>
        <v>生态 E</v>
      </c>
      <c r="B14" s="13" t="str">
        <f aca="false">1_原始数据!B14</f>
        <v>森林覆盖率</v>
      </c>
      <c r="C14" s="12" t="str">
        <f aca="false">1_原始数据!C14</f>
        <v>+</v>
      </c>
      <c r="E14" s="14" t="n">
        <f aca="false">0.01+0.99*IF($C14="+",(1_原始数据!E14-$P14)/($Q14-$P14),($Q14-1_原始数据!E14)/($Q14-$P14))</f>
        <v>0.01</v>
      </c>
      <c r="F14" s="14" t="n">
        <f aca="false">0.01+0.99*IF($C14="+",(1_原始数据!F14-$P14)/($Q14-$P14),($Q14-1_原始数据!F14)/($Q14-$P14))</f>
        <v>0.292857142857141</v>
      </c>
      <c r="G14" s="14" t="n">
        <f aca="false">0.01+0.99*IF($C14="+",(1_原始数据!G14-$P14)/($Q14-$P14),($Q14-1_原始数据!G14)/($Q14-$P14))</f>
        <v>0.292857142857141</v>
      </c>
      <c r="H14" s="14" t="n">
        <f aca="false">0.01+0.99*IF($C14="+",(1_原始数据!H14-$P14)/($Q14-$P14),($Q14-1_原始数据!H14)/($Q14-$P14))</f>
        <v>0.292857142857141</v>
      </c>
      <c r="I14" s="14" t="n">
        <f aca="false">0.01+0.99*IF($C14="+",(1_原始数据!I14-$P14)/($Q14-$P14),($Q14-1_原始数据!I14)/($Q14-$P14))</f>
        <v>0.593392857142856</v>
      </c>
      <c r="J14" s="14" t="n">
        <f aca="false">0.01+0.99*IF($C14="+",(1_原始数据!J14-$P14)/($Q14-$P14),($Q14-1_原始数据!J14)/($Q14-$P14))</f>
        <v>0.593392857142856</v>
      </c>
      <c r="K14" s="14" t="n">
        <f aca="false">0.01+0.99*IF($C14="+",(1_原始数据!K14-$P14)/($Q14-$P14),($Q14-1_原始数据!K14)/($Q14-$P14))</f>
        <v>0.593392857142856</v>
      </c>
      <c r="L14" s="14" t="n">
        <f aca="false">0.01+0.99*IF($C14="+",(1_原始数据!L14-$P14)/($Q14-$P14),($Q14-1_原始数据!L14)/($Q14-$P14))</f>
        <v>0.593392857142856</v>
      </c>
      <c r="M14" s="14" t="n">
        <f aca="false">0.01+0.99*IF($C14="+",(1_原始数据!M14-$P14)/($Q14-$P14),($Q14-1_原始数据!M14)/($Q14-$P14))</f>
        <v>0.593392857142856</v>
      </c>
      <c r="N14" s="14" t="n">
        <f aca="false">0.01+0.99*IF($C14="+",(1_原始数据!N14-$P14)/($Q14-$P14),($Q14-1_原始数据!N14)/($Q14-$P14))</f>
        <v>1</v>
      </c>
      <c r="P14" s="15" t="n">
        <f aca="false">MIN(1_原始数据!E14:N14)</f>
        <v>0.1198</v>
      </c>
      <c r="Q14" s="15" t="n">
        <f aca="false">MAX(1_原始数据!E14:N14)</f>
        <v>0.1254</v>
      </c>
    </row>
    <row r="15" customFormat="false" ht="15" hidden="false" customHeight="false" outlineLevel="0" collapsed="false">
      <c r="A15" s="12" t="str">
        <f aca="false">1_原始数据!A15</f>
        <v>生态 E</v>
      </c>
      <c r="B15" s="13" t="str">
        <f aca="false">1_原始数据!B15</f>
        <v>空气质量优良天数比例</v>
      </c>
      <c r="C15" s="12" t="str">
        <f aca="false">1_原始数据!C15</f>
        <v>+</v>
      </c>
      <c r="E15" s="14" t="n">
        <f aca="false">0.01+0.99*IF($C15="+",(1_原始数据!E15-$P15)/($Q15-$P15),($Q15-1_原始数据!E15)/($Q15-$P15))</f>
        <v>0.01</v>
      </c>
      <c r="F15" s="14" t="n">
        <f aca="false">0.01+0.99*IF($C15="+",(1_原始数据!F15-$P15)/($Q15-$P15),($Q15-1_原始数据!F15)/($Q15-$P15))</f>
        <v>0.186785714285714</v>
      </c>
      <c r="G15" s="14" t="n">
        <f aca="false">0.01+0.99*IF($C15="+",(1_原始数据!G15-$P15)/($Q15-$P15),($Q15-1_原始数据!G15)/($Q15-$P15))</f>
        <v>0.752500000000004</v>
      </c>
      <c r="H15" s="14" t="n">
        <f aca="false">0.01+0.99*IF($C15="+",(1_原始数据!H15-$P15)/($Q15-$P15),($Q15-1_原始数据!H15)/($Q15-$P15))</f>
        <v>1</v>
      </c>
      <c r="I15" s="14" t="n">
        <f aca="false">0.01+0.99*IF($C15="+",(1_原始数据!I15-$P15)/($Q15-$P15),($Q15-1_原始数据!I15)/($Q15-$P15))</f>
        <v>0.929285714285718</v>
      </c>
      <c r="J15" s="14" t="n">
        <f aca="false">0.01+0.99*IF($C15="+",(1_原始数据!J15-$P15)/($Q15-$P15),($Q15-1_原始数据!J15)/($Q15-$P15))</f>
        <v>0.858571428571432</v>
      </c>
      <c r="K15" s="14" t="n">
        <f aca="false">0.01+0.99*IF($C15="+",(1_原始数据!K15-$P15)/($Q15-$P15),($Q15-1_原始数据!K15)/($Q15-$P15))</f>
        <v>0.787857142857145</v>
      </c>
      <c r="L15" s="14" t="n">
        <f aca="false">0.01+0.99*IF($C15="+",(1_原始数据!L15-$P15)/($Q15-$P15),($Q15-1_原始数据!L15)/($Q15-$P15))</f>
        <v>0.929285714285718</v>
      </c>
      <c r="M15" s="14" t="n">
        <f aca="false">0.01+0.99*IF($C15="+",(1_原始数据!M15-$P15)/($Q15-$P15),($Q15-1_原始数据!M15)/($Q15-$P15))</f>
        <v>0.964642857142859</v>
      </c>
      <c r="N15" s="14" t="n">
        <f aca="false">0.01+0.99*IF($C15="+",(1_原始数据!N15-$P15)/($Q15-$P15),($Q15-1_原始数据!N15)/($Q15-$P15))</f>
        <v>1</v>
      </c>
      <c r="P15" s="15" t="n">
        <f aca="false">MIN(1_原始数据!E15:N15)</f>
        <v>96.8</v>
      </c>
      <c r="Q15" s="15" t="n">
        <f aca="false">MAX(1_原始数据!E15:N15)</f>
        <v>99.6</v>
      </c>
    </row>
    <row r="16" customFormat="false" ht="15" hidden="false" customHeight="false" outlineLevel="0" collapsed="false">
      <c r="A16" s="12" t="str">
        <f aca="false">1_原始数据!A16</f>
        <v>生态 E</v>
      </c>
      <c r="B16" s="13" t="str">
        <f aca="false">1_原始数据!B16</f>
        <v>草原综合植被盖度</v>
      </c>
      <c r="C16" s="12" t="str">
        <f aca="false">1_原始数据!C16</f>
        <v>+</v>
      </c>
      <c r="E16" s="14" t="n">
        <f aca="false">0.01+0.99*IF($C16="+",(1_原始数据!E16-$P16)/($Q16-$P16),($Q16-1_原始数据!E16)/($Q16-$P16))</f>
        <v>0.01</v>
      </c>
      <c r="F16" s="14" t="n">
        <f aca="false">0.01+0.99*IF($C16="+",(1_原始数据!F16-$P16)/($Q16-$P16),($Q16-1_原始数据!F16)/($Q16-$P16))</f>
        <v>0.335996533795495</v>
      </c>
      <c r="G16" s="14" t="n">
        <f aca="false">0.01+0.99*IF($C16="+",(1_原始数据!G16-$P16)/($Q16-$P16),($Q16-1_原始数据!G16)/($Q16-$P16))</f>
        <v>0.627677642980936</v>
      </c>
      <c r="H16" s="14" t="n">
        <f aca="false">0.01+0.99*IF($C16="+",(1_原始数据!H16-$P16)/($Q16-$P16),($Q16-1_原始数据!H16)/($Q16-$P16))</f>
        <v>0.764939341421144</v>
      </c>
      <c r="I16" s="14" t="n">
        <f aca="false">0.01+0.99*IF($C16="+",(1_原始数据!I16-$P16)/($Q16-$P16),($Q16-1_原始数据!I16)/($Q16-$P16))</f>
        <v>0.799254766031196</v>
      </c>
      <c r="J16" s="14" t="n">
        <f aca="false">0.01+0.99*IF($C16="+",(1_原始数据!J16-$P16)/($Q16-$P16),($Q16-1_原始数据!J16)/($Q16-$P16))</f>
        <v>0.840433275563258</v>
      </c>
      <c r="K16" s="14" t="n">
        <f aca="false">0.01+0.99*IF($C16="+",(1_原始数据!K16-$P16)/($Q16-$P16),($Q16-1_原始数据!K16)/($Q16-$P16))</f>
        <v>0.902201039861352</v>
      </c>
      <c r="L16" s="14" t="n">
        <f aca="false">0.01+0.99*IF($C16="+",(1_原始数据!L16-$P16)/($Q16-$P16),($Q16-1_原始数据!L16)/($Q16-$P16))</f>
        <v>0.950242634315425</v>
      </c>
      <c r="M16" s="14" t="n">
        <f aca="false">0.01+0.99*IF($C16="+",(1_原始数据!M16-$P16)/($Q16-$P16),($Q16-1_原始数据!M16)/($Q16-$P16))</f>
        <v>0.991421143847488</v>
      </c>
      <c r="N16" s="14" t="n">
        <f aca="false">0.01+0.99*IF($C16="+",(1_原始数据!N16-$P16)/($Q16-$P16),($Q16-1_原始数据!N16)/($Q16-$P16))</f>
        <v>1</v>
      </c>
      <c r="P16" s="15" t="n">
        <f aca="false">MIN(1_原始数据!E16:N16)</f>
        <v>42.3</v>
      </c>
      <c r="Q16" s="15" t="n">
        <f aca="false">MAX(1_原始数据!E16:N16)</f>
        <v>48.07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</cols>
  <sheetData>
    <row r="1" customFormat="false" ht="29.85" hidden="false" customHeight="false" outlineLevel="0" collapsed="false">
      <c r="A1" s="6" t="s">
        <v>14</v>
      </c>
      <c r="B1" s="6" t="s">
        <v>13</v>
      </c>
      <c r="C1" s="7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7" t="s">
        <v>62</v>
      </c>
      <c r="I1" s="7" t="s">
        <v>63</v>
      </c>
      <c r="J1" s="7" t="s">
        <v>64</v>
      </c>
      <c r="K1" s="7" t="s">
        <v>65</v>
      </c>
      <c r="L1" s="7" t="s">
        <v>66</v>
      </c>
      <c r="M1" s="7" t="s">
        <v>67</v>
      </c>
      <c r="N1" s="7" t="s">
        <v>68</v>
      </c>
      <c r="O1" s="7" t="s">
        <v>69</v>
      </c>
      <c r="P1" s="7" t="s">
        <v>70</v>
      </c>
      <c r="Q1" s="7" t="s">
        <v>71</v>
      </c>
      <c r="R1" s="7" t="s">
        <v>72</v>
      </c>
      <c r="S1" s="7" t="s">
        <v>73</v>
      </c>
      <c r="T1" s="7" t="s">
        <v>74</v>
      </c>
      <c r="U1" s="7" t="s">
        <v>75</v>
      </c>
      <c r="V1" s="7" t="s">
        <v>76</v>
      </c>
      <c r="W1" s="6" t="s">
        <v>77</v>
      </c>
      <c r="X1" s="6" t="s">
        <v>78</v>
      </c>
      <c r="Y1" s="7" t="s">
        <v>79</v>
      </c>
      <c r="Z1" s="6" t="s">
        <v>80</v>
      </c>
      <c r="AA1" s="6" t="s">
        <v>81</v>
      </c>
    </row>
    <row r="2" customFormat="false" ht="15" hidden="false" customHeight="false" outlineLevel="0" collapsed="false">
      <c r="A2" s="13" t="str">
        <f aca="false">2_标准化!B2</f>
        <v>地方一般公共预算收入</v>
      </c>
      <c r="B2" s="12" t="str">
        <f aca="false">2_标准化!A2</f>
        <v>安全 S</v>
      </c>
      <c r="C2" s="16" t="n">
        <f aca="false">SUM(2_标准化!E2:N2)</f>
        <v>4.27143968871595</v>
      </c>
      <c r="D2" s="16" t="n">
        <f aca="false">-1/LN(10)*SUMPRODUCT((2_标准化!E2:N2/$C2),LN(2_标准化!E2:N2/$C2))</f>
        <v>0.901771697941906</v>
      </c>
      <c r="E2" s="16" t="n">
        <f aca="false">1-D2</f>
        <v>0.098228302058094</v>
      </c>
      <c r="F2" s="17" t="n">
        <f aca="false">E2/SUM($E$2:$E$16)</f>
        <v>0.0625136204364372</v>
      </c>
      <c r="G2" s="16" t="n">
        <f aca="false">STDEV(2_标准化!E2:N2)</f>
        <v>0.288097286062443</v>
      </c>
      <c r="H2" s="18" t="n">
        <f aca="false">CORREL(2_标准化!$E2:$N2,2_标准化!$E2:$N2)</f>
        <v>1</v>
      </c>
      <c r="I2" s="18" t="n">
        <f aca="false">CORREL(2_标准化!$E2:$N2,2_标准化!$E3:$N3)</f>
        <v>0.731805450644186</v>
      </c>
      <c r="J2" s="18" t="n">
        <f aca="false">CORREL(2_标准化!$E2:$N2,2_标准化!$E4:$N4)</f>
        <v>0.810389410053057</v>
      </c>
      <c r="K2" s="18" t="n">
        <f aca="false">CORREL(2_标准化!$E2:$N2,2_标准化!$E5:$N5)</f>
        <v>0.686526444347145</v>
      </c>
      <c r="L2" s="18" t="n">
        <f aca="false">CORREL(2_标准化!$E2:$N2,2_标准化!$E6:$N6)</f>
        <v>0.899903116549719</v>
      </c>
      <c r="M2" s="18" t="n">
        <f aca="false">CORREL(2_标准化!$E2:$N2,2_标准化!$E7:$N7)</f>
        <v>-0.894271993002807</v>
      </c>
      <c r="N2" s="18" t="n">
        <f aca="false">CORREL(2_标准化!$E2:$N2,2_标准化!$E8:$N8)</f>
        <v>0.820787081106363</v>
      </c>
      <c r="O2" s="18" t="n">
        <f aca="false">CORREL(2_标准化!$E2:$N2,2_标准化!$E9:$N9)</f>
        <v>0.763058911402624</v>
      </c>
      <c r="P2" s="18" t="n">
        <f aca="false">CORREL(2_标准化!$E2:$N2,2_标准化!$E10:$N10)</f>
        <v>0.566063891716441</v>
      </c>
      <c r="Q2" s="18" t="n">
        <f aca="false">CORREL(2_标准化!$E2:$N2,2_标准化!$E11:$N11)</f>
        <v>0.937043044273784</v>
      </c>
      <c r="R2" s="18" t="n">
        <f aca="false">CORREL(2_标准化!$E2:$N2,2_标准化!$E12:$N12)</f>
        <v>0.766196132836077</v>
      </c>
      <c r="S2" s="18" t="n">
        <f aca="false">CORREL(2_标准化!$E2:$N2,2_标准化!$E13:$N13)</f>
        <v>0.789382404030964</v>
      </c>
      <c r="T2" s="18" t="n">
        <f aca="false">CORREL(2_标准化!$E2:$N2,2_标准化!$E14:$N14)</f>
        <v>0.768320584692402</v>
      </c>
      <c r="U2" s="18" t="n">
        <f aca="false">CORREL(2_标准化!$E2:$N2,2_标准化!$E15:$N15)</f>
        <v>0.706764315829626</v>
      </c>
      <c r="V2" s="18" t="n">
        <f aca="false">CORREL(2_标准化!$E2:$N2,2_标准化!$E16:$N16)</f>
        <v>0.711831667588971</v>
      </c>
      <c r="W2" s="16" t="n">
        <f aca="false">15-SUM(H2:V2)</f>
        <v>4.93619953793145</v>
      </c>
      <c r="X2" s="16" t="n">
        <f aca="false">G2*W2</f>
        <v>1.42210569034073</v>
      </c>
      <c r="Y2" s="17" t="n">
        <f aca="false">X2/SUM($X$2:$X$16)</f>
        <v>0.0564824407493171</v>
      </c>
      <c r="Z2" s="17" t="n">
        <f aca="false">(F2*Y2)/SUMPRODUCT($F$2:$F$16,$Y$2:$Y$16)</f>
        <v>0.0579599655360657</v>
      </c>
      <c r="AA2" s="17" t="n">
        <f aca="false">Z2/SUMIF($B$2:$B$16,B2,$Z$2:$Z$16)</f>
        <v>0.327467382971613</v>
      </c>
    </row>
    <row r="3" customFormat="false" ht="15" hidden="false" customHeight="false" outlineLevel="0" collapsed="false">
      <c r="A3" s="13" t="str">
        <f aca="false">2_标准化!B3</f>
        <v>城乡居民人均可支配收入比</v>
      </c>
      <c r="B3" s="12" t="str">
        <f aca="false">2_标准化!A3</f>
        <v>安全 S</v>
      </c>
      <c r="C3" s="16" t="n">
        <f aca="false">SUM(2_标准化!E3:N3)</f>
        <v>5.32764510605866</v>
      </c>
      <c r="D3" s="16" t="n">
        <f aca="false">-1/LN(10)*SUMPRODUCT((2_标准化!E3:N3/$C3),LN(2_标准化!E3:N3/$C3))</f>
        <v>0.899482516547213</v>
      </c>
      <c r="E3" s="16" t="n">
        <f aca="false">1-D3</f>
        <v>0.100517483452787</v>
      </c>
      <c r="F3" s="17" t="n">
        <f aca="false">E3/SUM($E$2:$E$16)</f>
        <v>0.0639704817871846</v>
      </c>
      <c r="G3" s="16" t="n">
        <f aca="false">STDEV(2_标准化!E3:N3)</f>
        <v>0.347704080993944</v>
      </c>
      <c r="H3" s="18" t="n">
        <f aca="false">CORREL(2_标准化!$E3:$N3,2_标准化!$E2:$N2)</f>
        <v>0.731805450644186</v>
      </c>
      <c r="I3" s="18" t="n">
        <f aca="false">CORREL(2_标准化!$E3:$N3,2_标准化!$E3:$N3)</f>
        <v>1</v>
      </c>
      <c r="J3" s="18" t="n">
        <f aca="false">CORREL(2_标准化!$E3:$N3,2_标准化!$E4:$N4)</f>
        <v>0.986180187104263</v>
      </c>
      <c r="K3" s="18" t="n">
        <f aca="false">CORREL(2_标准化!$E3:$N3,2_标准化!$E5:$N5)</f>
        <v>0.92336780192481</v>
      </c>
      <c r="L3" s="18" t="n">
        <f aca="false">CORREL(2_标准化!$E3:$N3,2_标准化!$E6:$N6)</f>
        <v>0.841592601353439</v>
      </c>
      <c r="M3" s="18" t="n">
        <f aca="false">CORREL(2_标准化!$E3:$N3,2_标准化!$E7:$N7)</f>
        <v>-0.497691856767057</v>
      </c>
      <c r="N3" s="18" t="n">
        <f aca="false">CORREL(2_标准化!$E3:$N3,2_标准化!$E8:$N8)</f>
        <v>0.987234715665859</v>
      </c>
      <c r="O3" s="18" t="n">
        <f aca="false">CORREL(2_标准化!$E3:$N3,2_标准化!$E9:$N9)</f>
        <v>0.99553218623137</v>
      </c>
      <c r="P3" s="18" t="n">
        <f aca="false">CORREL(2_标准化!$E3:$N3,2_标准化!$E10:$N10)</f>
        <v>0.625906551175272</v>
      </c>
      <c r="Q3" s="18" t="n">
        <f aca="false">CORREL(2_标准化!$E3:$N3,2_标准化!$E11:$N11)</f>
        <v>0.857478523055184</v>
      </c>
      <c r="R3" s="18" t="n">
        <f aca="false">CORREL(2_标准化!$E3:$N3,2_标准化!$E12:$N12)</f>
        <v>0.953280101290455</v>
      </c>
      <c r="S3" s="18" t="n">
        <f aca="false">CORREL(2_标准化!$E3:$N3,2_标准化!$E13:$N13)</f>
        <v>0.992404968119988</v>
      </c>
      <c r="T3" s="18" t="n">
        <f aca="false">CORREL(2_标准化!$E3:$N3,2_标准化!$E14:$N14)</f>
        <v>0.896074957360535</v>
      </c>
      <c r="U3" s="18" t="n">
        <f aca="false">CORREL(2_标准化!$E3:$N3,2_标准化!$E15:$N15)</f>
        <v>0.728497495174456</v>
      </c>
      <c r="V3" s="18" t="n">
        <f aca="false">CORREL(2_标准化!$E3:$N3,2_标准化!$E16:$N16)</f>
        <v>0.883949715772904</v>
      </c>
      <c r="W3" s="16" t="n">
        <f aca="false">15-SUM(H3:V3)</f>
        <v>3.09438660189434</v>
      </c>
      <c r="X3" s="16" t="n">
        <f aca="false">G3*W3</f>
        <v>1.07593084965164</v>
      </c>
      <c r="Y3" s="17" t="n">
        <f aca="false">X3/SUM($X$2:$X$16)</f>
        <v>0.0427332517397148</v>
      </c>
      <c r="Z3" s="17" t="n">
        <f aca="false">(F3*Y3)/SUMPRODUCT($F$2:$F$16,$Y$2:$Y$16)</f>
        <v>0.0448730484615496</v>
      </c>
      <c r="AA3" s="17" t="n">
        <f aca="false">Z3/SUMIF($B$2:$B$16,B3,$Z$2:$Z$16)</f>
        <v>0.253527751608451</v>
      </c>
    </row>
    <row r="4" customFormat="false" ht="15" hidden="false" customHeight="false" outlineLevel="0" collapsed="false">
      <c r="A4" s="13" t="str">
        <f aca="false">2_标准化!B4</f>
        <v>居民医保人均财政补助标准</v>
      </c>
      <c r="B4" s="12" t="str">
        <f aca="false">2_标准化!A4</f>
        <v>安全 S</v>
      </c>
      <c r="C4" s="16" t="n">
        <f aca="false">SUM(2_标准化!E4:N4)</f>
        <v>5.00285714285714</v>
      </c>
      <c r="D4" s="16" t="n">
        <f aca="false">-1/LN(10)*SUMPRODUCT((2_标准化!E4:N4/$C4),LN(2_标准化!E4:N4/$C4))</f>
        <v>0.896151499576832</v>
      </c>
      <c r="E4" s="16" t="n">
        <f aca="false">1-D4</f>
        <v>0.103848500423169</v>
      </c>
      <c r="F4" s="17" t="n">
        <f aca="false">E4/SUM($E$2:$E$16)</f>
        <v>0.0660903792728464</v>
      </c>
      <c r="G4" s="16" t="n">
        <f aca="false">STDEV(2_标准化!E4:N4)</f>
        <v>0.333909569954246</v>
      </c>
      <c r="H4" s="18" t="n">
        <f aca="false">CORREL(2_标准化!$E4:$N4,2_标准化!$E2:$N2)</f>
        <v>0.810389410053057</v>
      </c>
      <c r="I4" s="18" t="n">
        <f aca="false">CORREL(2_标准化!$E4:$N4,2_标准化!$E3:$N3)</f>
        <v>0.986180187104263</v>
      </c>
      <c r="J4" s="18" t="n">
        <f aca="false">CORREL(2_标准化!$E4:$N4,2_标准化!$E4:$N4)</f>
        <v>1</v>
      </c>
      <c r="K4" s="18" t="n">
        <f aca="false">CORREL(2_标准化!$E4:$N4,2_标准化!$E5:$N5)</f>
        <v>0.904602577266523</v>
      </c>
      <c r="L4" s="18" t="n">
        <f aca="false">CORREL(2_标准化!$E4:$N4,2_标准化!$E6:$N6)</f>
        <v>0.876717745410408</v>
      </c>
      <c r="M4" s="18" t="n">
        <f aca="false">CORREL(2_标准化!$E4:$N4,2_标准化!$E7:$N7)</f>
        <v>-0.59919771764174</v>
      </c>
      <c r="N4" s="18" t="n">
        <f aca="false">CORREL(2_标准化!$E4:$N4,2_标准化!$E8:$N8)</f>
        <v>0.993763204480488</v>
      </c>
      <c r="O4" s="18" t="n">
        <f aca="false">CORREL(2_标准化!$E4:$N4,2_标准化!$E9:$N9)</f>
        <v>0.990232951082772</v>
      </c>
      <c r="P4" s="18" t="n">
        <f aca="false">CORREL(2_标准化!$E4:$N4,2_标准化!$E10:$N10)</f>
        <v>0.654489551046551</v>
      </c>
      <c r="Q4" s="18" t="n">
        <f aca="false">CORREL(2_标准化!$E4:$N4,2_标准化!$E11:$N11)</f>
        <v>0.905165518997266</v>
      </c>
      <c r="R4" s="18" t="n">
        <f aca="false">CORREL(2_标准化!$E4:$N4,2_标准化!$E12:$N12)</f>
        <v>0.968155349531745</v>
      </c>
      <c r="S4" s="18" t="n">
        <f aca="false">CORREL(2_标准化!$E4:$N4,2_标准化!$E13:$N13)</f>
        <v>0.993463560804071</v>
      </c>
      <c r="T4" s="18" t="n">
        <f aca="false">CORREL(2_标准化!$E4:$N4,2_标准化!$E14:$N14)</f>
        <v>0.88874953637558</v>
      </c>
      <c r="U4" s="18" t="n">
        <f aca="false">CORREL(2_标准化!$E4:$N4,2_标准化!$E15:$N15)</f>
        <v>0.753794763202722</v>
      </c>
      <c r="V4" s="18" t="n">
        <f aca="false">CORREL(2_标准化!$E4:$N4,2_标准化!$E16:$N16)</f>
        <v>0.882272265543976</v>
      </c>
      <c r="W4" s="16" t="n">
        <f aca="false">15-SUM(H4:V4)</f>
        <v>2.99122109674232</v>
      </c>
      <c r="X4" s="16" t="n">
        <f aca="false">G4*W4</f>
        <v>0.998797350051295</v>
      </c>
      <c r="Y4" s="17" t="n">
        <f aca="false">X4/SUM($X$2:$X$16)</f>
        <v>0.0396697042477415</v>
      </c>
      <c r="Z4" s="17" t="n">
        <f aca="false">(F4*Y4)/SUMPRODUCT($F$2:$F$16,$Y$2:$Y$16)</f>
        <v>0.0430365271449525</v>
      </c>
      <c r="AA4" s="17" t="n">
        <f aca="false">Z4/SUMIF($B$2:$B$16,B4,$Z$2:$Z$16)</f>
        <v>0.243151609667106</v>
      </c>
    </row>
    <row r="5" customFormat="false" ht="15" hidden="false" customHeight="false" outlineLevel="0" collapsed="false">
      <c r="A5" s="13" t="str">
        <f aca="false">2_标准化!B5</f>
        <v>基本养老保险参保率</v>
      </c>
      <c r="B5" s="12" t="str">
        <f aca="false">2_标准化!A5</f>
        <v>安全 S</v>
      </c>
      <c r="C5" s="16" t="n">
        <f aca="false">SUM(2_标准化!E5:N5)</f>
        <v>7.0264</v>
      </c>
      <c r="D5" s="16" t="n">
        <f aca="false">-1/LN(10)*SUMPRODUCT((2_标准化!E5:N5/$C5),LN(2_标准化!E5:N5/$C5))</f>
        <v>0.939392091860741</v>
      </c>
      <c r="E5" s="16" t="n">
        <f aca="false">1-D5</f>
        <v>0.0606079081392587</v>
      </c>
      <c r="F5" s="17" t="n">
        <f aca="false">E5/SUM($E$2:$E$16)</f>
        <v>0.038571569348957</v>
      </c>
      <c r="G5" s="16" t="n">
        <f aca="false">STDEV(2_标准化!E5:N5)</f>
        <v>0.323783872359325</v>
      </c>
      <c r="H5" s="18" t="n">
        <f aca="false">CORREL(2_标准化!$E5:$N5,2_标准化!$E2:$N2)</f>
        <v>0.686526444347145</v>
      </c>
      <c r="I5" s="18" t="n">
        <f aca="false">CORREL(2_标准化!$E5:$N5,2_标准化!$E3:$N3)</f>
        <v>0.92336780192481</v>
      </c>
      <c r="J5" s="18" t="n">
        <f aca="false">CORREL(2_标准化!$E5:$N5,2_标准化!$E4:$N4)</f>
        <v>0.904602577266523</v>
      </c>
      <c r="K5" s="18" t="n">
        <f aca="false">CORREL(2_标准化!$E5:$N5,2_标准化!$E5:$N5)</f>
        <v>1</v>
      </c>
      <c r="L5" s="18" t="n">
        <f aca="false">CORREL(2_标准化!$E5:$N5,2_标准化!$E6:$N6)</f>
        <v>0.720733108624556</v>
      </c>
      <c r="M5" s="18" t="n">
        <f aca="false">CORREL(2_标准化!$E5:$N5,2_标准化!$E7:$N7)</f>
        <v>-0.47979746844492</v>
      </c>
      <c r="N5" s="18" t="n">
        <f aca="false">CORREL(2_标准化!$E5:$N5,2_标准化!$E8:$N8)</f>
        <v>0.902808435844294</v>
      </c>
      <c r="O5" s="18" t="n">
        <f aca="false">CORREL(2_标准化!$E5:$N5,2_标准化!$E9:$N9)</f>
        <v>0.905255189466231</v>
      </c>
      <c r="P5" s="18" t="n">
        <f aca="false">CORREL(2_标准化!$E5:$N5,2_标准化!$E10:$N10)</f>
        <v>0.384450799234825</v>
      </c>
      <c r="Q5" s="18" t="n">
        <f aca="false">CORREL(2_标准化!$E5:$N5,2_标准化!$E11:$N11)</f>
        <v>0.742033487057074</v>
      </c>
      <c r="R5" s="18" t="n">
        <f aca="false">CORREL(2_标准化!$E5:$N5,2_标准化!$E12:$N12)</f>
        <v>0.78725051540323</v>
      </c>
      <c r="S5" s="18" t="n">
        <f aca="false">CORREL(2_标准化!$E5:$N5,2_标准化!$E13:$N13)</f>
        <v>0.931137689589905</v>
      </c>
      <c r="T5" s="18" t="n">
        <f aca="false">CORREL(2_标准化!$E5:$N5,2_标准化!$E14:$N14)</f>
        <v>0.889138745238958</v>
      </c>
      <c r="U5" s="18" t="n">
        <f aca="false">CORREL(2_标准化!$E5:$N5,2_标准化!$E15:$N15)</f>
        <v>0.892700817892838</v>
      </c>
      <c r="V5" s="18" t="n">
        <f aca="false">CORREL(2_标准化!$E5:$N5,2_标准化!$E16:$N16)</f>
        <v>0.98712573255488</v>
      </c>
      <c r="W5" s="16" t="n">
        <f aca="false">15-SUM(H5:V5)</f>
        <v>3.82266612399965</v>
      </c>
      <c r="X5" s="16" t="n">
        <f aca="false">G5*W5</f>
        <v>1.23771764036542</v>
      </c>
      <c r="Y5" s="17" t="n">
        <f aca="false">X5/SUM($X$2:$X$16)</f>
        <v>0.0491590138209589</v>
      </c>
      <c r="Z5" s="17" t="n">
        <f aca="false">(F5*Y5)/SUMPRODUCT($F$2:$F$16,$Y$2:$Y$16)</f>
        <v>0.031125080459456</v>
      </c>
      <c r="AA5" s="17" t="n">
        <f aca="false">Z5/SUMIF($B$2:$B$16,B5,$Z$2:$Z$16)</f>
        <v>0.17585325575283</v>
      </c>
    </row>
    <row r="6" customFormat="false" ht="15" hidden="false" customHeight="false" outlineLevel="0" collapsed="false">
      <c r="A6" s="13" t="str">
        <f aca="false">2_标准化!B6</f>
        <v>人均GDP相对全国水平</v>
      </c>
      <c r="B6" s="12" t="str">
        <f aca="false">2_标准化!A6</f>
        <v>发展 D</v>
      </c>
      <c r="C6" s="16" t="n">
        <f aca="false">SUM(2_标准化!E6:N6)</f>
        <v>3.53151545660885</v>
      </c>
      <c r="D6" s="16" t="n">
        <f aca="false">-1/LN(10)*SUMPRODUCT((2_标准化!E6:N6/$C6),LN(2_标准化!E6:N6/$C6))</f>
        <v>0.819236052597264</v>
      </c>
      <c r="E6" s="16" t="n">
        <f aca="false">1-D6</f>
        <v>0.180763947402736</v>
      </c>
      <c r="F6" s="17" t="n">
        <f aca="false">E6/SUM($E$2:$E$16)</f>
        <v>0.11504025377374</v>
      </c>
      <c r="G6" s="16" t="n">
        <f aca="false">STDEV(2_标准化!E6:N6)</f>
        <v>0.336193370419468</v>
      </c>
      <c r="H6" s="18" t="n">
        <f aca="false">CORREL(2_标准化!$E6:$N6,2_标准化!$E2:$N2)</f>
        <v>0.899903116549719</v>
      </c>
      <c r="I6" s="18" t="n">
        <f aca="false">CORREL(2_标准化!$E6:$N6,2_标准化!$E3:$N3)</f>
        <v>0.841592601353439</v>
      </c>
      <c r="J6" s="18" t="n">
        <f aca="false">CORREL(2_标准化!$E6:$N6,2_标准化!$E4:$N4)</f>
        <v>0.876717745410408</v>
      </c>
      <c r="K6" s="18" t="n">
        <f aca="false">CORREL(2_标准化!$E6:$N6,2_标准化!$E5:$N5)</f>
        <v>0.720733108624556</v>
      </c>
      <c r="L6" s="18" t="n">
        <f aca="false">CORREL(2_标准化!$E6:$N6,2_标准化!$E6:$N6)</f>
        <v>1</v>
      </c>
      <c r="M6" s="18" t="n">
        <f aca="false">CORREL(2_标准化!$E6:$N6,2_标准化!$E7:$N7)</f>
        <v>-0.767706243549147</v>
      </c>
      <c r="N6" s="18" t="n">
        <f aca="false">CORREL(2_标准化!$E6:$N6,2_标准化!$E8:$N8)</f>
        <v>0.902970435711472</v>
      </c>
      <c r="O6" s="18" t="n">
        <f aca="false">CORREL(2_标准化!$E6:$N6,2_标准化!$E9:$N9)</f>
        <v>0.866068362833739</v>
      </c>
      <c r="P6" s="18" t="n">
        <f aca="false">CORREL(2_标准化!$E6:$N6,2_标准化!$E10:$N10)</f>
        <v>0.622609175131915</v>
      </c>
      <c r="Q6" s="18" t="n">
        <f aca="false">CORREL(2_标准化!$E6:$N6,2_标准化!$E11:$N11)</f>
        <v>0.933685353120589</v>
      </c>
      <c r="R6" s="18" t="n">
        <f aca="false">CORREL(2_标准化!$E6:$N6,2_标准化!$E12:$N12)</f>
        <v>0.867057405473589</v>
      </c>
      <c r="S6" s="18" t="n">
        <f aca="false">CORREL(2_标准化!$E6:$N6,2_标准化!$E13:$N13)</f>
        <v>0.866308193614084</v>
      </c>
      <c r="T6" s="18" t="n">
        <f aca="false">CORREL(2_标准化!$E6:$N6,2_标准化!$E14:$N14)</f>
        <v>0.817396225872642</v>
      </c>
      <c r="U6" s="18" t="n">
        <f aca="false">CORREL(2_标准化!$E6:$N6,2_标准化!$E15:$N15)</f>
        <v>0.649393440296623</v>
      </c>
      <c r="V6" s="18" t="n">
        <f aca="false">CORREL(2_标准化!$E6:$N6,2_标准化!$E16:$N16)</f>
        <v>0.708090032745659</v>
      </c>
      <c r="W6" s="16" t="n">
        <f aca="false">15-SUM(H6:V6)</f>
        <v>4.19518104681071</v>
      </c>
      <c r="X6" s="16" t="n">
        <f aca="false">G6*W6</f>
        <v>1.41039205564717</v>
      </c>
      <c r="Y6" s="17" t="n">
        <f aca="false">X6/SUM($X$2:$X$16)</f>
        <v>0.0560172048093779</v>
      </c>
      <c r="Z6" s="17" t="n">
        <f aca="false">(F6*Y6)/SUMPRODUCT($F$2:$F$16,$Y$2:$Y$16)</f>
        <v>0.105781878964052</v>
      </c>
      <c r="AA6" s="17" t="n">
        <f aca="false">Z6/SUMIF($B$2:$B$16,B6,$Z$2:$Z$16)</f>
        <v>0.158601834918589</v>
      </c>
    </row>
    <row r="7" customFormat="false" ht="15" hidden="false" customHeight="false" outlineLevel="0" collapsed="false">
      <c r="A7" s="13" t="str">
        <f aca="false">2_标准化!B7</f>
        <v>第三产业增加值比重</v>
      </c>
      <c r="B7" s="12" t="str">
        <f aca="false">2_标准化!A7</f>
        <v>发展 D</v>
      </c>
      <c r="C7" s="16" t="n">
        <f aca="false">SUM(2_标准化!E7:N7)</f>
        <v>6.40473684210526</v>
      </c>
      <c r="D7" s="16" t="n">
        <f aca="false">-1/LN(10)*SUMPRODUCT((2_标准化!E7:N7/$C7),LN(2_标准化!E7:N7/$C7))</f>
        <v>0.936332880397735</v>
      </c>
      <c r="E7" s="16" t="n">
        <f aca="false">1-D7</f>
        <v>0.0636671196022647</v>
      </c>
      <c r="F7" s="17" t="n">
        <f aca="false">E7/SUM($E$2:$E$16)</f>
        <v>0.0405184866856738</v>
      </c>
      <c r="G7" s="16" t="n">
        <f aca="false">STDEV(2_标准化!E7:N7)</f>
        <v>0.308536039280059</v>
      </c>
      <c r="H7" s="18" t="n">
        <f aca="false">CORREL(2_标准化!$E7:$N7,2_标准化!$E2:$N2)</f>
        <v>-0.894271993002807</v>
      </c>
      <c r="I7" s="18" t="n">
        <f aca="false">CORREL(2_标准化!$E7:$N7,2_标准化!$E3:$N3)</f>
        <v>-0.497691856767057</v>
      </c>
      <c r="J7" s="18" t="n">
        <f aca="false">CORREL(2_标准化!$E7:$N7,2_标准化!$E4:$N4)</f>
        <v>-0.59919771764174</v>
      </c>
      <c r="K7" s="18" t="n">
        <f aca="false">CORREL(2_标准化!$E7:$N7,2_标准化!$E5:$N5)</f>
        <v>-0.47979746844492</v>
      </c>
      <c r="L7" s="18" t="n">
        <f aca="false">CORREL(2_标准化!$E7:$N7,2_标准化!$E6:$N6)</f>
        <v>-0.767706243549147</v>
      </c>
      <c r="M7" s="18" t="n">
        <f aca="false">CORREL(2_标准化!$E7:$N7,2_标准化!$E7:$N7)</f>
        <v>1</v>
      </c>
      <c r="N7" s="18" t="n">
        <f aca="false">CORREL(2_标准化!$E7:$N7,2_标准化!$E8:$N8)</f>
        <v>-0.612500177450026</v>
      </c>
      <c r="O7" s="18" t="n">
        <f aca="false">CORREL(2_标准化!$E7:$N7,2_标准化!$E9:$N9)</f>
        <v>-0.543538077579317</v>
      </c>
      <c r="P7" s="18" t="n">
        <f aca="false">CORREL(2_标准化!$E7:$N7,2_标准化!$E10:$N10)</f>
        <v>-0.344735347925542</v>
      </c>
      <c r="Q7" s="18" t="n">
        <f aca="false">CORREL(2_标准化!$E7:$N7,2_标准化!$E11:$N11)</f>
        <v>-0.732038770030115</v>
      </c>
      <c r="R7" s="18" t="n">
        <f aca="false">CORREL(2_标准化!$E7:$N7,2_标准化!$E12:$N12)</f>
        <v>-0.573220548042139</v>
      </c>
      <c r="S7" s="18" t="n">
        <f aca="false">CORREL(2_标准化!$E7:$N7,2_标准化!$E13:$N13)</f>
        <v>-0.587444439093429</v>
      </c>
      <c r="T7" s="18" t="n">
        <f aca="false">CORREL(2_标准化!$E7:$N7,2_标准化!$E14:$N14)</f>
        <v>-0.599551932835581</v>
      </c>
      <c r="U7" s="18" t="n">
        <f aca="false">CORREL(2_标准化!$E7:$N7,2_标准化!$E15:$N15)</f>
        <v>-0.580580619607366</v>
      </c>
      <c r="V7" s="18" t="n">
        <f aca="false">CORREL(2_标准化!$E7:$N7,2_标准化!$E16:$N16)</f>
        <v>-0.535364005285681</v>
      </c>
      <c r="W7" s="16" t="n">
        <f aca="false">15-SUM(H7:V7)</f>
        <v>22.3476391972549</v>
      </c>
      <c r="X7" s="16" t="n">
        <f aca="false">G7*W7</f>
        <v>6.89505208518081</v>
      </c>
      <c r="Y7" s="17" t="n">
        <f aca="false">X7/SUM($X$2:$X$16)</f>
        <v>0.273854027524051</v>
      </c>
      <c r="Z7" s="17" t="n">
        <f aca="false">(F7*Y7)/SUMPRODUCT($F$2:$F$16,$Y$2:$Y$16)</f>
        <v>0.18214294769908</v>
      </c>
      <c r="AA7" s="17" t="n">
        <f aca="false">Z7/SUMIF($B$2:$B$16,B7,$Z$2:$Z$16)</f>
        <v>0.273092196938301</v>
      </c>
    </row>
    <row r="8" customFormat="false" ht="15" hidden="false" customHeight="false" outlineLevel="0" collapsed="false">
      <c r="A8" s="13" t="str">
        <f aca="false">2_标准化!B8</f>
        <v>地区生产总值</v>
      </c>
      <c r="B8" s="12" t="str">
        <f aca="false">2_标准化!A8</f>
        <v>发展 D</v>
      </c>
      <c r="C8" s="16" t="n">
        <f aca="false">SUM(2_标准化!E8:N8)</f>
        <v>4.75677919444429</v>
      </c>
      <c r="D8" s="16" t="n">
        <f aca="false">-1/LN(10)*SUMPRODUCT((2_标准化!E8:N8/$C8),LN(2_标准化!E8:N8/$C8))</f>
        <v>0.892631975997901</v>
      </c>
      <c r="E8" s="16" t="n">
        <f aca="false">1-D8</f>
        <v>0.1073680240021</v>
      </c>
      <c r="F8" s="17" t="n">
        <f aca="false">E8/SUM($E$2:$E$16)</f>
        <v>0.0683302445308273</v>
      </c>
      <c r="G8" s="16" t="n">
        <f aca="false">STDEV(2_标准化!E8:N8)</f>
        <v>0.325614323376534</v>
      </c>
      <c r="H8" s="18" t="n">
        <f aca="false">CORREL(2_标准化!$E8:$N8,2_标准化!$E2:$N2)</f>
        <v>0.820787081106363</v>
      </c>
      <c r="I8" s="18" t="n">
        <f aca="false">CORREL(2_标准化!$E8:$N8,2_标准化!$E3:$N3)</f>
        <v>0.987234715665859</v>
      </c>
      <c r="J8" s="18" t="n">
        <f aca="false">CORREL(2_标准化!$E8:$N8,2_标准化!$E4:$N4)</f>
        <v>0.993763204480488</v>
      </c>
      <c r="K8" s="18" t="n">
        <f aca="false">CORREL(2_标准化!$E8:$N8,2_标准化!$E5:$N5)</f>
        <v>0.902808435844294</v>
      </c>
      <c r="L8" s="18" t="n">
        <f aca="false">CORREL(2_标准化!$E8:$N8,2_标准化!$E6:$N6)</f>
        <v>0.902970435711472</v>
      </c>
      <c r="M8" s="18" t="n">
        <f aca="false">CORREL(2_标准化!$E8:$N8,2_标准化!$E7:$N7)</f>
        <v>-0.612500177450026</v>
      </c>
      <c r="N8" s="18" t="n">
        <f aca="false">CORREL(2_标准化!$E8:$N8,2_标准化!$E8:$N8)</f>
        <v>1</v>
      </c>
      <c r="O8" s="18" t="n">
        <f aca="false">CORREL(2_标准化!$E8:$N8,2_标准化!$E9:$N9)</f>
        <v>0.995166549695438</v>
      </c>
      <c r="P8" s="18" t="n">
        <f aca="false">CORREL(2_标准化!$E8:$N8,2_标准化!$E10:$N10)</f>
        <v>0.630537771342246</v>
      </c>
      <c r="Q8" s="18" t="n">
        <f aca="false">CORREL(2_标准化!$E8:$N8,2_标准化!$E11:$N11)</f>
        <v>0.915560000515427</v>
      </c>
      <c r="R8" s="18" t="n">
        <f aca="false">CORREL(2_标准化!$E8:$N8,2_标准化!$E12:$N12)</f>
        <v>0.962176096124861</v>
      </c>
      <c r="S8" s="18" t="n">
        <f aca="false">CORREL(2_标准化!$E8:$N8,2_标准化!$E13:$N13)</f>
        <v>0.993957785437868</v>
      </c>
      <c r="T8" s="18" t="n">
        <f aca="false">CORREL(2_标准化!$E8:$N8,2_标准化!$E14:$N14)</f>
        <v>0.910364207766504</v>
      </c>
      <c r="U8" s="18" t="n">
        <f aca="false">CORREL(2_标准化!$E8:$N8,2_标准化!$E15:$N15)</f>
        <v>0.745644231214937</v>
      </c>
      <c r="V8" s="18" t="n">
        <f aca="false">CORREL(2_标准化!$E8:$N8,2_标准化!$E16:$N16)</f>
        <v>0.87273264615211</v>
      </c>
      <c r="W8" s="16" t="n">
        <f aca="false">15-SUM(H8:V8)</f>
        <v>2.97879701639216</v>
      </c>
      <c r="X8" s="16" t="n">
        <f aca="false">G8*W8</f>
        <v>0.969938974968571</v>
      </c>
      <c r="Y8" s="17" t="n">
        <f aca="false">X8/SUM($X$2:$X$16)</f>
        <v>0.038523522587825</v>
      </c>
      <c r="Z8" s="17" t="n">
        <f aca="false">(F8*Y8)/SUMPRODUCT($F$2:$F$16,$Y$2:$Y$16)</f>
        <v>0.0432094739106568</v>
      </c>
      <c r="AA8" s="17" t="n">
        <f aca="false">Z8/SUMIF($B$2:$B$16,B8,$Z$2:$Z$16)</f>
        <v>0.0647852157213611</v>
      </c>
    </row>
    <row r="9" customFormat="false" ht="15" hidden="false" customHeight="false" outlineLevel="0" collapsed="false">
      <c r="A9" s="13" t="str">
        <f aca="false">2_标准化!B9</f>
        <v>农村居民人均可支配收入</v>
      </c>
      <c r="B9" s="12" t="str">
        <f aca="false">2_标准化!A9</f>
        <v>发展 D</v>
      </c>
      <c r="C9" s="16" t="n">
        <f aca="false">SUM(2_标准化!E9:N9)</f>
        <v>4.82958623136977</v>
      </c>
      <c r="D9" s="16" t="n">
        <f aca="false">-1/LN(10)*SUMPRODUCT((2_标准化!E9:N9/$C9),LN(2_标准化!E9:N9/$C9))</f>
        <v>0.882810969776469</v>
      </c>
      <c r="E9" s="16" t="n">
        <f aca="false">1-D9</f>
        <v>0.117189030223531</v>
      </c>
      <c r="F9" s="17" t="n">
        <f aca="false">E9/SUM($E$2:$E$16)</f>
        <v>0.0745804457698487</v>
      </c>
      <c r="G9" s="16" t="n">
        <f aca="false">STDEV(2_标准化!E9:N9)</f>
        <v>0.34371799341413</v>
      </c>
      <c r="H9" s="18" t="n">
        <f aca="false">CORREL(2_标准化!$E9:$N9,2_标准化!$E2:$N2)</f>
        <v>0.763058911402624</v>
      </c>
      <c r="I9" s="18" t="n">
        <f aca="false">CORREL(2_标准化!$E9:$N9,2_标准化!$E3:$N3)</f>
        <v>0.99553218623137</v>
      </c>
      <c r="J9" s="18" t="n">
        <f aca="false">CORREL(2_标准化!$E9:$N9,2_标准化!$E4:$N4)</f>
        <v>0.990232951082772</v>
      </c>
      <c r="K9" s="18" t="n">
        <f aca="false">CORREL(2_标准化!$E9:$N9,2_标准化!$E5:$N5)</f>
        <v>0.905255189466231</v>
      </c>
      <c r="L9" s="18" t="n">
        <f aca="false">CORREL(2_标准化!$E9:$N9,2_标准化!$E6:$N6)</f>
        <v>0.866068362833739</v>
      </c>
      <c r="M9" s="18" t="n">
        <f aca="false">CORREL(2_标准化!$E9:$N9,2_标准化!$E7:$N7)</f>
        <v>-0.543538077579317</v>
      </c>
      <c r="N9" s="18" t="n">
        <f aca="false">CORREL(2_标准化!$E9:$N9,2_标准化!$E8:$N8)</f>
        <v>0.995166549695438</v>
      </c>
      <c r="O9" s="18" t="n">
        <f aca="false">CORREL(2_标准化!$E9:$N9,2_标准化!$E9:$N9)</f>
        <v>1</v>
      </c>
      <c r="P9" s="18" t="n">
        <f aca="false">CORREL(2_标准化!$E9:$N9,2_标准化!$E10:$N10)</f>
        <v>0.624581051060985</v>
      </c>
      <c r="Q9" s="18" t="n">
        <f aca="false">CORREL(2_标准化!$E9:$N9,2_标准化!$E11:$N11)</f>
        <v>0.881764736802929</v>
      </c>
      <c r="R9" s="18" t="n">
        <f aca="false">CORREL(2_标准化!$E9:$N9,2_标准化!$E12:$N12)</f>
        <v>0.963800460770773</v>
      </c>
      <c r="S9" s="18" t="n">
        <f aca="false">CORREL(2_标准化!$E9:$N9,2_标准化!$E13:$N13)</f>
        <v>0.993656001766051</v>
      </c>
      <c r="T9" s="18" t="n">
        <f aca="false">CORREL(2_标准化!$E9:$N9,2_标准化!$E14:$N14)</f>
        <v>0.90135912051755</v>
      </c>
      <c r="U9" s="18" t="n">
        <f aca="false">CORREL(2_标准化!$E9:$N9,2_标准化!$E15:$N15)</f>
        <v>0.720026754955868</v>
      </c>
      <c r="V9" s="18" t="n">
        <f aca="false">CORREL(2_标准化!$E9:$N9,2_标准化!$E16:$N16)</f>
        <v>0.866200804718235</v>
      </c>
      <c r="W9" s="16" t="n">
        <f aca="false">15-SUM(H9:V9)</f>
        <v>3.07683499627475</v>
      </c>
      <c r="X9" s="16" t="n">
        <f aca="false">G9*W9</f>
        <v>1.05756355098593</v>
      </c>
      <c r="Y9" s="17" t="n">
        <f aca="false">X9/SUM($X$2:$X$16)</f>
        <v>0.0420037490975007</v>
      </c>
      <c r="Z9" s="17" t="n">
        <f aca="false">(F9*Y9)/SUMPRODUCT($F$2:$F$16,$Y$2:$Y$16)</f>
        <v>0.0514224828588446</v>
      </c>
      <c r="AA9" s="17" t="n">
        <f aca="false">Z9/SUMIF($B$2:$B$16,B9,$Z$2:$Z$16)</f>
        <v>0.0770992179128709</v>
      </c>
    </row>
    <row r="10" customFormat="false" ht="15" hidden="false" customHeight="false" outlineLevel="0" collapsed="false">
      <c r="A10" s="13" t="str">
        <f aca="false">2_标准化!B10</f>
        <v>货物进出口总额</v>
      </c>
      <c r="B10" s="12" t="str">
        <f aca="false">2_标准化!A10</f>
        <v>发展 D</v>
      </c>
      <c r="C10" s="16" t="n">
        <f aca="false">SUM(2_标准化!E10:N10)</f>
        <v>4.0700512382579</v>
      </c>
      <c r="D10" s="16" t="n">
        <f aca="false">-1/LN(10)*SUMPRODUCT((2_标准化!E10:N10/$C10),LN(2_标准化!E10:N10/$C10))</f>
        <v>0.885071058526946</v>
      </c>
      <c r="E10" s="16" t="n">
        <f aca="false">1-D10</f>
        <v>0.114928941473054</v>
      </c>
      <c r="F10" s="17" t="n">
        <f aca="false">E10/SUM($E$2:$E$16)</f>
        <v>0.0731420993122625</v>
      </c>
      <c r="G10" s="16" t="n">
        <f aca="false">STDEV(2_标准化!E10:N10)</f>
        <v>0.310795396313684</v>
      </c>
      <c r="H10" s="18" t="n">
        <f aca="false">CORREL(2_标准化!$E10:$N10,2_标准化!$E2:$N2)</f>
        <v>0.566063891716441</v>
      </c>
      <c r="I10" s="18" t="n">
        <f aca="false">CORREL(2_标准化!$E10:$N10,2_标准化!$E3:$N3)</f>
        <v>0.625906551175272</v>
      </c>
      <c r="J10" s="18" t="n">
        <f aca="false">CORREL(2_标准化!$E10:$N10,2_标准化!$E4:$N4)</f>
        <v>0.654489551046551</v>
      </c>
      <c r="K10" s="18" t="n">
        <f aca="false">CORREL(2_标准化!$E10:$N10,2_标准化!$E5:$N5)</f>
        <v>0.384450799234825</v>
      </c>
      <c r="L10" s="18" t="n">
        <f aca="false">CORREL(2_标准化!$E10:$N10,2_标准化!$E6:$N6)</f>
        <v>0.622609175131915</v>
      </c>
      <c r="M10" s="18" t="n">
        <f aca="false">CORREL(2_标准化!$E10:$N10,2_标准化!$E7:$N7)</f>
        <v>-0.344735347925542</v>
      </c>
      <c r="N10" s="18" t="n">
        <f aca="false">CORREL(2_标准化!$E10:$N10,2_标准化!$E8:$N8)</f>
        <v>0.630537771342246</v>
      </c>
      <c r="O10" s="18" t="n">
        <f aca="false">CORREL(2_标准化!$E10:$N10,2_标准化!$E9:$N9)</f>
        <v>0.624581051060985</v>
      </c>
      <c r="P10" s="18" t="n">
        <f aca="false">CORREL(2_标准化!$E10:$N10,2_标准化!$E10:$N10)</f>
        <v>1</v>
      </c>
      <c r="Q10" s="18" t="n">
        <f aca="false">CORREL(2_标准化!$E10:$N10,2_标准化!$E11:$N11)</f>
        <v>0.739966483712548</v>
      </c>
      <c r="R10" s="18" t="n">
        <f aca="false">CORREL(2_标准化!$E10:$N10,2_标准化!$E12:$N12)</f>
        <v>0.738844494744501</v>
      </c>
      <c r="S10" s="18" t="n">
        <f aca="false">CORREL(2_标准化!$E10:$N10,2_标准化!$E13:$N13)</f>
        <v>0.608472153183187</v>
      </c>
      <c r="T10" s="18" t="n">
        <f aca="false">CORREL(2_标准化!$E10:$N10,2_标准化!$E14:$N14)</f>
        <v>0.324658514855969</v>
      </c>
      <c r="U10" s="18" t="n">
        <f aca="false">CORREL(2_标准化!$E10:$N10,2_标准化!$E15:$N15)</f>
        <v>0.228238818527746</v>
      </c>
      <c r="V10" s="18" t="n">
        <f aca="false">CORREL(2_标准化!$E10:$N10,2_标准化!$E16:$N16)</f>
        <v>0.370574697880444</v>
      </c>
      <c r="W10" s="16" t="n">
        <f aca="false">15-SUM(H10:V10)</f>
        <v>7.22534139431291</v>
      </c>
      <c r="X10" s="16" t="n">
        <f aca="false">G10*W10</f>
        <v>2.24560284214715</v>
      </c>
      <c r="Y10" s="17" t="n">
        <f aca="false">X10/SUM($X$2:$X$16)</f>
        <v>0.0891896645513629</v>
      </c>
      <c r="Z10" s="17" t="n">
        <f aca="false">(F10*Y10)/SUMPRODUCT($F$2:$F$16,$Y$2:$Y$16)</f>
        <v>0.107083353490796</v>
      </c>
      <c r="AA10" s="17" t="n">
        <f aca="false">Z10/SUMIF($B$2:$B$16,B10,$Z$2:$Z$16)</f>
        <v>0.160553173371477</v>
      </c>
    </row>
    <row r="11" customFormat="false" ht="15" hidden="false" customHeight="false" outlineLevel="0" collapsed="false">
      <c r="A11" s="13" t="str">
        <f aca="false">2_标准化!B11</f>
        <v>接待游客总人数</v>
      </c>
      <c r="B11" s="12" t="str">
        <f aca="false">2_标准化!A11</f>
        <v>发展 D</v>
      </c>
      <c r="C11" s="16" t="n">
        <f aca="false">SUM(2_标准化!E11:N11)</f>
        <v>3.99960859119314</v>
      </c>
      <c r="D11" s="16" t="n">
        <f aca="false">-1/LN(10)*SUMPRODUCT((2_标准化!E11:N11/$C11),LN(2_标准化!E11:N11/$C11))</f>
        <v>0.854171223848468</v>
      </c>
      <c r="E11" s="16" t="n">
        <f aca="false">1-D11</f>
        <v>0.145828776151532</v>
      </c>
      <c r="F11" s="17" t="n">
        <f aca="false">E11/SUM($E$2:$E$16)</f>
        <v>0.0928071092550854</v>
      </c>
      <c r="G11" s="16" t="n">
        <f aca="false">STDEV(2_标准化!E11:N11)</f>
        <v>0.337412112987799</v>
      </c>
      <c r="H11" s="18" t="n">
        <f aca="false">CORREL(2_标准化!$E11:$N11,2_标准化!$E2:$N2)</f>
        <v>0.937043044273784</v>
      </c>
      <c r="I11" s="18" t="n">
        <f aca="false">CORREL(2_标准化!$E11:$N11,2_标准化!$E3:$N3)</f>
        <v>0.857478523055184</v>
      </c>
      <c r="J11" s="18" t="n">
        <f aca="false">CORREL(2_标准化!$E11:$N11,2_标准化!$E4:$N4)</f>
        <v>0.905165518997266</v>
      </c>
      <c r="K11" s="18" t="n">
        <f aca="false">CORREL(2_标准化!$E11:$N11,2_标准化!$E5:$N5)</f>
        <v>0.742033487057074</v>
      </c>
      <c r="L11" s="18" t="n">
        <f aca="false">CORREL(2_标准化!$E11:$N11,2_标准化!$E6:$N6)</f>
        <v>0.933685353120589</v>
      </c>
      <c r="M11" s="18" t="n">
        <f aca="false">CORREL(2_标准化!$E11:$N11,2_标准化!$E7:$N7)</f>
        <v>-0.732038770030115</v>
      </c>
      <c r="N11" s="18" t="n">
        <f aca="false">CORREL(2_标准化!$E11:$N11,2_标准化!$E8:$N8)</f>
        <v>0.915560000515427</v>
      </c>
      <c r="O11" s="18" t="n">
        <f aca="false">CORREL(2_标准化!$E11:$N11,2_标准化!$E9:$N9)</f>
        <v>0.881764736802929</v>
      </c>
      <c r="P11" s="18" t="n">
        <f aca="false">CORREL(2_标准化!$E11:$N11,2_标准化!$E10:$N10)</f>
        <v>0.739966483712548</v>
      </c>
      <c r="Q11" s="18" t="n">
        <f aca="false">CORREL(2_标准化!$E11:$N11,2_标准化!$E11:$N11)</f>
        <v>1</v>
      </c>
      <c r="R11" s="18" t="n">
        <f aca="false">CORREL(2_标准化!$E11:$N11,2_标准化!$E12:$N12)</f>
        <v>0.891992945624059</v>
      </c>
      <c r="S11" s="18" t="n">
        <f aca="false">CORREL(2_标准化!$E11:$N11,2_标准化!$E13:$N13)</f>
        <v>0.885533191417254</v>
      </c>
      <c r="T11" s="18" t="n">
        <f aca="false">CORREL(2_标准化!$E11:$N11,2_标准化!$E14:$N14)</f>
        <v>0.772946424053868</v>
      </c>
      <c r="U11" s="18" t="n">
        <f aca="false">CORREL(2_标准化!$E11:$N11,2_标准化!$E15:$N15)</f>
        <v>0.685334500278277</v>
      </c>
      <c r="V11" s="18" t="n">
        <f aca="false">CORREL(2_标准化!$E11:$N11,2_标准化!$E16:$N16)</f>
        <v>0.740825454750699</v>
      </c>
      <c r="W11" s="16" t="n">
        <f aca="false">15-SUM(H11:V11)</f>
        <v>3.84270910637116</v>
      </c>
      <c r="X11" s="16" t="n">
        <f aca="false">G11*W11</f>
        <v>1.29657659917815</v>
      </c>
      <c r="Y11" s="17" t="n">
        <f aca="false">X11/SUM($X$2:$X$16)</f>
        <v>0.0514967427790014</v>
      </c>
      <c r="Z11" s="17" t="n">
        <f aca="false">(F11*Y11)/SUMPRODUCT($F$2:$F$16,$Y$2:$Y$16)</f>
        <v>0.0784514576846197</v>
      </c>
      <c r="AA11" s="17" t="n">
        <f aca="false">Z11/SUMIF($B$2:$B$16,B11,$Z$2:$Z$16)</f>
        <v>0.11762454271631</v>
      </c>
    </row>
    <row r="12" customFormat="false" ht="15" hidden="false" customHeight="false" outlineLevel="0" collapsed="false">
      <c r="A12" s="13" t="str">
        <f aca="false">2_标准化!B12</f>
        <v>清洁能源发电量</v>
      </c>
      <c r="B12" s="12" t="str">
        <f aca="false">2_标准化!A12</f>
        <v>发展 D</v>
      </c>
      <c r="C12" s="16" t="n">
        <f aca="false">SUM(2_标准化!E12:N12)</f>
        <v>3.82278663561448</v>
      </c>
      <c r="D12" s="16" t="n">
        <f aca="false">-1/LN(10)*SUMPRODUCT((2_标准化!E12:N12/$C12),LN(2_标准化!E12:N12/$C12))</f>
        <v>0.813526389075463</v>
      </c>
      <c r="E12" s="16" t="n">
        <f aca="false">1-D12</f>
        <v>0.186473610924537</v>
      </c>
      <c r="F12" s="17" t="n">
        <f aca="false">E12/SUM($E$2:$E$16)</f>
        <v>0.118673949264176</v>
      </c>
      <c r="G12" s="16" t="n">
        <f aca="false">STDEV(2_标准化!E12:N12)</f>
        <v>0.361021837569558</v>
      </c>
      <c r="H12" s="18" t="n">
        <f aca="false">CORREL(2_标准化!$E12:$N12,2_标准化!$E2:$N2)</f>
        <v>0.766196132836077</v>
      </c>
      <c r="I12" s="18" t="n">
        <f aca="false">CORREL(2_标准化!$E12:$N12,2_标准化!$E3:$N3)</f>
        <v>0.953280101290455</v>
      </c>
      <c r="J12" s="18" t="n">
        <f aca="false">CORREL(2_标准化!$E12:$N12,2_标准化!$E4:$N4)</f>
        <v>0.968155349531745</v>
      </c>
      <c r="K12" s="18" t="n">
        <f aca="false">CORREL(2_标准化!$E12:$N12,2_标准化!$E5:$N5)</f>
        <v>0.78725051540323</v>
      </c>
      <c r="L12" s="18" t="n">
        <f aca="false">CORREL(2_标准化!$E12:$N12,2_标准化!$E6:$N6)</f>
        <v>0.867057405473589</v>
      </c>
      <c r="M12" s="18" t="n">
        <f aca="false">CORREL(2_标准化!$E12:$N12,2_标准化!$E7:$N7)</f>
        <v>-0.573220548042139</v>
      </c>
      <c r="N12" s="18" t="n">
        <f aca="false">CORREL(2_标准化!$E12:$N12,2_标准化!$E8:$N8)</f>
        <v>0.962176096124861</v>
      </c>
      <c r="O12" s="18" t="n">
        <f aca="false">CORREL(2_标准化!$E12:$N12,2_标准化!$E9:$N9)</f>
        <v>0.963800460770773</v>
      </c>
      <c r="P12" s="18" t="n">
        <f aca="false">CORREL(2_标准化!$E12:$N12,2_标准化!$E10:$N10)</f>
        <v>0.738844494744501</v>
      </c>
      <c r="Q12" s="18" t="n">
        <f aca="false">CORREL(2_标准化!$E12:$N12,2_标准化!$E11:$N11)</f>
        <v>0.891992945624059</v>
      </c>
      <c r="R12" s="18" t="n">
        <f aca="false">CORREL(2_标准化!$E12:$N12,2_标准化!$E12:$N12)</f>
        <v>1</v>
      </c>
      <c r="S12" s="18" t="n">
        <f aca="false">CORREL(2_标准化!$E12:$N12,2_标准化!$E13:$N13)</f>
        <v>0.95513212973357</v>
      </c>
      <c r="T12" s="18" t="n">
        <f aca="false">CORREL(2_标准化!$E12:$N12,2_标准化!$E14:$N14)</f>
        <v>0.825217755024162</v>
      </c>
      <c r="U12" s="18" t="n">
        <f aca="false">CORREL(2_标准化!$E12:$N12,2_标准化!$E15:$N15)</f>
        <v>0.597980619295374</v>
      </c>
      <c r="V12" s="18" t="n">
        <f aca="false">CORREL(2_标准化!$E12:$N12,2_标准化!$E16:$N16)</f>
        <v>0.756414160484072</v>
      </c>
      <c r="W12" s="16" t="n">
        <f aca="false">15-SUM(H12:V12)</f>
        <v>3.53972238170567</v>
      </c>
      <c r="X12" s="16" t="n">
        <f aca="false">G12*W12</f>
        <v>1.27791707872947</v>
      </c>
      <c r="Y12" s="17" t="n">
        <f aca="false">X12/SUM($X$2:$X$16)</f>
        <v>0.0507556338267543</v>
      </c>
      <c r="Z12" s="17" t="n">
        <f aca="false">(F12*Y12)/SUMPRODUCT($F$2:$F$16,$Y$2:$Y$16)</f>
        <v>0.0988734440899648</v>
      </c>
      <c r="AA12" s="17" t="n">
        <f aca="false">Z12/SUMIF($B$2:$B$16,B12,$Z$2:$Z$16)</f>
        <v>0.148243818421092</v>
      </c>
    </row>
    <row r="13" customFormat="false" ht="15" hidden="false" customHeight="false" outlineLevel="0" collapsed="false">
      <c r="A13" s="13" t="str">
        <f aca="false">2_标准化!B13</f>
        <v>单位GDP能耗指数</v>
      </c>
      <c r="B13" s="12" t="str">
        <f aca="false">2_标准化!A13</f>
        <v>生态 E</v>
      </c>
      <c r="C13" s="16" t="n">
        <f aca="false">SUM(2_标准化!E13:N13)</f>
        <v>5.20902226102139</v>
      </c>
      <c r="D13" s="16" t="n">
        <f aca="false">-1/LN(10)*SUMPRODUCT((2_标准化!E13:N13/$C13),LN(2_标准化!E13:N13/$C13))</f>
        <v>0.908225108847083</v>
      </c>
      <c r="E13" s="16" t="n">
        <f aca="false">1-D13</f>
        <v>0.0917748911529166</v>
      </c>
      <c r="F13" s="17" t="n">
        <f aca="false">E13/SUM($E$2:$E$16)</f>
        <v>0.0584065955628114</v>
      </c>
      <c r="G13" s="16" t="n">
        <f aca="false">STDEV(2_标准化!E13:N13)</f>
        <v>0.322835539302833</v>
      </c>
      <c r="H13" s="18" t="n">
        <f aca="false">CORREL(2_标准化!$E13:$N13,2_标准化!$E2:$N2)</f>
        <v>0.789382404030964</v>
      </c>
      <c r="I13" s="18" t="n">
        <f aca="false">CORREL(2_标准化!$E13:$N13,2_标准化!$E3:$N3)</f>
        <v>0.992404968119988</v>
      </c>
      <c r="J13" s="18" t="n">
        <f aca="false">CORREL(2_标准化!$E13:$N13,2_标准化!$E4:$N4)</f>
        <v>0.993463560804071</v>
      </c>
      <c r="K13" s="18" t="n">
        <f aca="false">CORREL(2_标准化!$E13:$N13,2_标准化!$E5:$N5)</f>
        <v>0.931137689589905</v>
      </c>
      <c r="L13" s="18" t="n">
        <f aca="false">CORREL(2_标准化!$E13:$N13,2_标准化!$E6:$N6)</f>
        <v>0.866308193614084</v>
      </c>
      <c r="M13" s="18" t="n">
        <f aca="false">CORREL(2_标准化!$E13:$N13,2_标准化!$E7:$N7)</f>
        <v>-0.587444439093429</v>
      </c>
      <c r="N13" s="18" t="n">
        <f aca="false">CORREL(2_标准化!$E13:$N13,2_标准化!$E8:$N8)</f>
        <v>0.993957785437868</v>
      </c>
      <c r="O13" s="18" t="n">
        <f aca="false">CORREL(2_标准化!$E13:$N13,2_标准化!$E9:$N9)</f>
        <v>0.993656001766051</v>
      </c>
      <c r="P13" s="18" t="n">
        <f aca="false">CORREL(2_标准化!$E13:$N13,2_标准化!$E10:$N10)</f>
        <v>0.608472153183187</v>
      </c>
      <c r="Q13" s="18" t="n">
        <f aca="false">CORREL(2_标准化!$E13:$N13,2_标准化!$E11:$N11)</f>
        <v>0.885533191417254</v>
      </c>
      <c r="R13" s="18" t="n">
        <f aca="false">CORREL(2_标准化!$E13:$N13,2_标准化!$E12:$N12)</f>
        <v>0.95513212973357</v>
      </c>
      <c r="S13" s="18" t="n">
        <f aca="false">CORREL(2_标准化!$E13:$N13,2_标准化!$E13:$N13)</f>
        <v>1</v>
      </c>
      <c r="T13" s="18" t="n">
        <f aca="false">CORREL(2_标准化!$E13:$N13,2_标准化!$E14:$N14)</f>
        <v>0.906242102683348</v>
      </c>
      <c r="U13" s="18" t="n">
        <f aca="false">CORREL(2_标准化!$E13:$N13,2_标准化!$E15:$N15)</f>
        <v>0.777586764103051</v>
      </c>
      <c r="V13" s="18" t="n">
        <f aca="false">CORREL(2_标准化!$E13:$N13,2_标准化!$E16:$N16)</f>
        <v>0.907188562822434</v>
      </c>
      <c r="W13" s="16" t="n">
        <f aca="false">15-SUM(H13:V13)</f>
        <v>2.98697893178766</v>
      </c>
      <c r="X13" s="16" t="n">
        <f aca="false">G13*W13</f>
        <v>0.964302954329867</v>
      </c>
      <c r="Y13" s="17" t="n">
        <f aca="false">X13/SUM($X$2:$X$16)</f>
        <v>0.0382996741045865</v>
      </c>
      <c r="Z13" s="17" t="n">
        <f aca="false">(F13*Y13)/SUMPRODUCT($F$2:$F$16,$Y$2:$Y$16)</f>
        <v>0.036719518925561</v>
      </c>
      <c r="AA13" s="17" t="n">
        <f aca="false">Z13/SUMIF($B$2:$B$16,B13,$Z$2:$Z$16)</f>
        <v>0.235320680512271</v>
      </c>
    </row>
    <row r="14" customFormat="false" ht="15" hidden="false" customHeight="false" outlineLevel="0" collapsed="false">
      <c r="A14" s="13" t="str">
        <f aca="false">2_标准化!B14</f>
        <v>森林覆盖率</v>
      </c>
      <c r="B14" s="12" t="str">
        <f aca="false">2_标准化!A14</f>
        <v>生态 E</v>
      </c>
      <c r="C14" s="16" t="n">
        <f aca="false">SUM(2_标准化!E14:N14)</f>
        <v>4.8555357142857</v>
      </c>
      <c r="D14" s="16" t="n">
        <f aca="false">-1/LN(10)*SUMPRODUCT((2_标准化!E14:N14/$C14),LN(2_标准化!E14:N14/$C14))</f>
        <v>0.92535931861617</v>
      </c>
      <c r="E14" s="16" t="n">
        <f aca="false">1-D14</f>
        <v>0.0746406813838303</v>
      </c>
      <c r="F14" s="17" t="n">
        <f aca="false">E14/SUM($E$2:$E$16)</f>
        <v>0.0475021875302927</v>
      </c>
      <c r="G14" s="16" t="n">
        <f aca="false">STDEV(2_标准化!E14:N14)</f>
        <v>0.270872792128162</v>
      </c>
      <c r="H14" s="18" t="n">
        <f aca="false">CORREL(2_标准化!$E14:$N14,2_标准化!$E2:$N2)</f>
        <v>0.768320584692402</v>
      </c>
      <c r="I14" s="18" t="n">
        <f aca="false">CORREL(2_标准化!$E14:$N14,2_标准化!$E3:$N3)</f>
        <v>0.896074957360535</v>
      </c>
      <c r="J14" s="18" t="n">
        <f aca="false">CORREL(2_标准化!$E14:$N14,2_标准化!$E4:$N4)</f>
        <v>0.88874953637558</v>
      </c>
      <c r="K14" s="18" t="n">
        <f aca="false">CORREL(2_标准化!$E14:$N14,2_标准化!$E5:$N5)</f>
        <v>0.889138745238958</v>
      </c>
      <c r="L14" s="18" t="n">
        <f aca="false">CORREL(2_标准化!$E14:$N14,2_标准化!$E6:$N6)</f>
        <v>0.817396225872642</v>
      </c>
      <c r="M14" s="18" t="n">
        <f aca="false">CORREL(2_标准化!$E14:$N14,2_标准化!$E7:$N7)</f>
        <v>-0.599551932835581</v>
      </c>
      <c r="N14" s="18" t="n">
        <f aca="false">CORREL(2_标准化!$E14:$N14,2_标准化!$E8:$N8)</f>
        <v>0.910364207766504</v>
      </c>
      <c r="O14" s="18" t="n">
        <f aca="false">CORREL(2_标准化!$E14:$N14,2_标准化!$E9:$N9)</f>
        <v>0.90135912051755</v>
      </c>
      <c r="P14" s="18" t="n">
        <f aca="false">CORREL(2_标准化!$E14:$N14,2_标准化!$E10:$N10)</f>
        <v>0.324658514855969</v>
      </c>
      <c r="Q14" s="18" t="n">
        <f aca="false">CORREL(2_标准化!$E14:$N14,2_标准化!$E11:$N11)</f>
        <v>0.772946424053868</v>
      </c>
      <c r="R14" s="18" t="n">
        <f aca="false">CORREL(2_标准化!$E14:$N14,2_标准化!$E12:$N12)</f>
        <v>0.825217755024162</v>
      </c>
      <c r="S14" s="18" t="n">
        <f aca="false">CORREL(2_标准化!$E14:$N14,2_标准化!$E13:$N13)</f>
        <v>0.906242102683348</v>
      </c>
      <c r="T14" s="18" t="n">
        <f aca="false">CORREL(2_标准化!$E14:$N14,2_标准化!$E14:$N14)</f>
        <v>1</v>
      </c>
      <c r="U14" s="18" t="n">
        <f aca="false">CORREL(2_标准化!$E14:$N14,2_标准化!$E15:$N15)</f>
        <v>0.72095085644613</v>
      </c>
      <c r="V14" s="18" t="n">
        <f aca="false">CORREL(2_标准化!$E14:$N14,2_标准化!$E16:$N16)</f>
        <v>0.846376264832969</v>
      </c>
      <c r="W14" s="16" t="n">
        <f aca="false">15-SUM(H14:V14)</f>
        <v>4.13175663711496</v>
      </c>
      <c r="X14" s="16" t="n">
        <f aca="false">G14*W14</f>
        <v>1.11918045668939</v>
      </c>
      <c r="Y14" s="17" t="n">
        <f aca="false">X14/SUM($X$2:$X$16)</f>
        <v>0.0444510167297104</v>
      </c>
      <c r="Z14" s="17" t="n">
        <f aca="false">(F14*Y14)/SUMPRODUCT($F$2:$F$16,$Y$2:$Y$16)</f>
        <v>0.0346605396750289</v>
      </c>
      <c r="AA14" s="17" t="n">
        <f aca="false">Z14/SUMIF($B$2:$B$16,B14,$Z$2:$Z$16)</f>
        <v>0.222125507683942</v>
      </c>
    </row>
    <row r="15" customFormat="false" ht="15" hidden="false" customHeight="false" outlineLevel="0" collapsed="false">
      <c r="A15" s="13" t="str">
        <f aca="false">2_标准化!B15</f>
        <v>空气质量优良天数比例</v>
      </c>
      <c r="B15" s="12" t="str">
        <f aca="false">2_标准化!A15</f>
        <v>生态 E</v>
      </c>
      <c r="C15" s="16" t="n">
        <f aca="false">SUM(2_标准化!E15:N15)</f>
        <v>7.41892857142859</v>
      </c>
      <c r="D15" s="16" t="n">
        <f aca="false">-1/LN(10)*SUMPRODUCT((2_标准化!E15:N15/$C15),LN(2_标准化!E15:N15/$C15))</f>
        <v>0.9325808072259</v>
      </c>
      <c r="E15" s="16" t="n">
        <f aca="false">1-D15</f>
        <v>0.0674191927741004</v>
      </c>
      <c r="F15" s="17" t="n">
        <f aca="false">E15/SUM($E$2:$E$16)</f>
        <v>0.0429063491774346</v>
      </c>
      <c r="G15" s="16" t="n">
        <f aca="false">STDEV(2_标准化!E15:N15)</f>
        <v>0.351621408329924</v>
      </c>
      <c r="H15" s="18" t="n">
        <f aca="false">CORREL(2_标准化!$E15:$N15,2_标准化!$E2:$N2)</f>
        <v>0.706764315829626</v>
      </c>
      <c r="I15" s="18" t="n">
        <f aca="false">CORREL(2_标准化!$E15:$N15,2_标准化!$E3:$N3)</f>
        <v>0.728497495174456</v>
      </c>
      <c r="J15" s="18" t="n">
        <f aca="false">CORREL(2_标准化!$E15:$N15,2_标准化!$E4:$N4)</f>
        <v>0.753794763202722</v>
      </c>
      <c r="K15" s="18" t="n">
        <f aca="false">CORREL(2_标准化!$E15:$N15,2_标准化!$E5:$N5)</f>
        <v>0.892700817892838</v>
      </c>
      <c r="L15" s="18" t="n">
        <f aca="false">CORREL(2_标准化!$E15:$N15,2_标准化!$E6:$N6)</f>
        <v>0.649393440296623</v>
      </c>
      <c r="M15" s="18" t="n">
        <f aca="false">CORREL(2_标准化!$E15:$N15,2_标准化!$E7:$N7)</f>
        <v>-0.580580619607366</v>
      </c>
      <c r="N15" s="18" t="n">
        <f aca="false">CORREL(2_标准化!$E15:$N15,2_标准化!$E8:$N8)</f>
        <v>0.745644231214937</v>
      </c>
      <c r="O15" s="18" t="n">
        <f aca="false">CORREL(2_标准化!$E15:$N15,2_标准化!$E9:$N9)</f>
        <v>0.720026754955868</v>
      </c>
      <c r="P15" s="18" t="n">
        <f aca="false">CORREL(2_标准化!$E15:$N15,2_标准化!$E10:$N10)</f>
        <v>0.228238818527746</v>
      </c>
      <c r="Q15" s="18" t="n">
        <f aca="false">CORREL(2_标准化!$E15:$N15,2_标准化!$E11:$N11)</f>
        <v>0.685334500278277</v>
      </c>
      <c r="R15" s="18" t="n">
        <f aca="false">CORREL(2_标准化!$E15:$N15,2_标准化!$E12:$N12)</f>
        <v>0.597980619295374</v>
      </c>
      <c r="S15" s="18" t="n">
        <f aca="false">CORREL(2_标准化!$E15:$N15,2_标准化!$E13:$N13)</f>
        <v>0.777586764103051</v>
      </c>
      <c r="T15" s="18" t="n">
        <f aca="false">CORREL(2_标准化!$E15:$N15,2_标准化!$E14:$N14)</f>
        <v>0.72095085644613</v>
      </c>
      <c r="U15" s="18" t="n">
        <f aca="false">CORREL(2_标准化!$E15:$N15,2_标准化!$E15:$N15)</f>
        <v>1</v>
      </c>
      <c r="V15" s="18" t="n">
        <f aca="false">CORREL(2_标准化!$E15:$N15,2_标准化!$E16:$N16)</f>
        <v>0.944860338197486</v>
      </c>
      <c r="W15" s="16" t="n">
        <f aca="false">15-SUM(H15:V15)</f>
        <v>5.42880690419223</v>
      </c>
      <c r="X15" s="16" t="n">
        <f aca="false">G15*W15</f>
        <v>1.90888472920329</v>
      </c>
      <c r="Y15" s="17" t="n">
        <f aca="false">X15/SUM($X$2:$X$16)</f>
        <v>0.0758160728466445</v>
      </c>
      <c r="Z15" s="17" t="n">
        <f aca="false">(F15*Y15)/SUMPRODUCT($F$2:$F$16,$Y$2:$Y$16)</f>
        <v>0.0533977379008544</v>
      </c>
      <c r="AA15" s="17" t="n">
        <f aca="false">Z15/SUMIF($B$2:$B$16,B15,$Z$2:$Z$16)</f>
        <v>0.342204701704243</v>
      </c>
    </row>
    <row r="16" customFormat="false" ht="15" hidden="false" customHeight="false" outlineLevel="0" collapsed="false">
      <c r="A16" s="13" t="str">
        <f aca="false">2_标准化!B16</f>
        <v>草原综合植被盖度</v>
      </c>
      <c r="B16" s="12" t="str">
        <f aca="false">2_标准化!A16</f>
        <v>生态 E</v>
      </c>
      <c r="C16" s="16" t="n">
        <f aca="false">SUM(2_标准化!E16:N16)</f>
        <v>7.22216637781629</v>
      </c>
      <c r="D16" s="16" t="n">
        <f aca="false">-1/LN(10)*SUMPRODUCT((2_标准化!E16:N16/$C16),LN(2_标准化!E16:N16/$C16))</f>
        <v>0.941946007169662</v>
      </c>
      <c r="E16" s="16" t="n">
        <f aca="false">1-D16</f>
        <v>0.0580539928303377</v>
      </c>
      <c r="F16" s="17" t="n">
        <f aca="false">E16/SUM($E$2:$E$16)</f>
        <v>0.0369462282924226</v>
      </c>
      <c r="G16" s="16" t="n">
        <f aca="false">STDEV(2_标准化!E16:N16)</f>
        <v>0.319916014664881</v>
      </c>
      <c r="H16" s="18" t="n">
        <f aca="false">CORREL(2_标准化!$E16:$N16,2_标准化!$E2:$N2)</f>
        <v>0.711831667588971</v>
      </c>
      <c r="I16" s="18" t="n">
        <f aca="false">CORREL(2_标准化!$E16:$N16,2_标准化!$E3:$N3)</f>
        <v>0.883949715772904</v>
      </c>
      <c r="J16" s="18" t="n">
        <f aca="false">CORREL(2_标准化!$E16:$N16,2_标准化!$E4:$N4)</f>
        <v>0.882272265543976</v>
      </c>
      <c r="K16" s="18" t="n">
        <f aca="false">CORREL(2_标准化!$E16:$N16,2_标准化!$E5:$N5)</f>
        <v>0.98712573255488</v>
      </c>
      <c r="L16" s="18" t="n">
        <f aca="false">CORREL(2_标准化!$E16:$N16,2_标准化!$E6:$N6)</f>
        <v>0.708090032745659</v>
      </c>
      <c r="M16" s="18" t="n">
        <f aca="false">CORREL(2_标准化!$E16:$N16,2_标准化!$E7:$N7)</f>
        <v>-0.535364005285681</v>
      </c>
      <c r="N16" s="18" t="n">
        <f aca="false">CORREL(2_标准化!$E16:$N16,2_标准化!$E8:$N8)</f>
        <v>0.87273264615211</v>
      </c>
      <c r="O16" s="18" t="n">
        <f aca="false">CORREL(2_标准化!$E16:$N16,2_标准化!$E9:$N9)</f>
        <v>0.866200804718235</v>
      </c>
      <c r="P16" s="18" t="n">
        <f aca="false">CORREL(2_标准化!$E16:$N16,2_标准化!$E10:$N10)</f>
        <v>0.370574697880444</v>
      </c>
      <c r="Q16" s="18" t="n">
        <f aca="false">CORREL(2_标准化!$E16:$N16,2_标准化!$E11:$N11)</f>
        <v>0.740825454750699</v>
      </c>
      <c r="R16" s="18" t="n">
        <f aca="false">CORREL(2_标准化!$E16:$N16,2_标准化!$E12:$N12)</f>
        <v>0.756414160484072</v>
      </c>
      <c r="S16" s="18" t="n">
        <f aca="false">CORREL(2_标准化!$E16:$N16,2_标准化!$E13:$N13)</f>
        <v>0.907188562822434</v>
      </c>
      <c r="T16" s="18" t="n">
        <f aca="false">CORREL(2_标准化!$E16:$N16,2_标准化!$E14:$N14)</f>
        <v>0.846376264832969</v>
      </c>
      <c r="U16" s="18" t="n">
        <f aca="false">CORREL(2_标准化!$E16:$N16,2_标准化!$E15:$N15)</f>
        <v>0.944860338197486</v>
      </c>
      <c r="V16" s="18" t="n">
        <f aca="false">CORREL(2_标准化!$E16:$N16,2_标准化!$E16:$N16)</f>
        <v>1</v>
      </c>
      <c r="W16" s="16" t="n">
        <f aca="false">15-SUM(H16:V16)</f>
        <v>4.05692166124084</v>
      </c>
      <c r="X16" s="16" t="n">
        <f aca="false">G16*W16</f>
        <v>1.2978742096718</v>
      </c>
      <c r="Y16" s="17" t="n">
        <f aca="false">X16/SUM($X$2:$X$16)</f>
        <v>0.0515482805854535</v>
      </c>
      <c r="Z16" s="17" t="n">
        <f aca="false">(F16*Y16)/SUMPRODUCT($F$2:$F$16,$Y$2:$Y$16)</f>
        <v>0.0312625431985179</v>
      </c>
      <c r="AA16" s="17" t="n">
        <f aca="false">Z16/SUMIF($B$2:$B$16,B16,$Z$2:$Z$16)</f>
        <v>0.200349110099544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0"/>
  </cols>
  <sheetData>
    <row r="1" customFormat="false" ht="15" hidden="false" customHeight="false" outlineLevel="0" collapsed="false">
      <c r="A1" s="6" t="s">
        <v>82</v>
      </c>
      <c r="B1" s="7" t="s">
        <v>83</v>
      </c>
      <c r="C1" s="7" t="s">
        <v>84</v>
      </c>
      <c r="D1" s="7" t="s">
        <v>85</v>
      </c>
      <c r="F1" s="7" t="s">
        <v>86</v>
      </c>
      <c r="G1" s="7" t="s">
        <v>87</v>
      </c>
      <c r="H1" s="7" t="s">
        <v>88</v>
      </c>
      <c r="J1" s="7" t="s">
        <v>89</v>
      </c>
      <c r="K1" s="7" t="s">
        <v>90</v>
      </c>
      <c r="L1" s="7" t="s">
        <v>91</v>
      </c>
    </row>
    <row r="2" customFormat="false" ht="15" hidden="false" customHeight="false" outlineLevel="0" collapsed="false">
      <c r="A2" s="16" t="s">
        <v>17</v>
      </c>
      <c r="B2" s="19" t="n">
        <f aca="false">SUMPRODUCT(3_权重!$AA$2:$AA$5,2_标准化!E2:E5)</f>
        <v>0.01</v>
      </c>
      <c r="C2" s="19" t="n">
        <f aca="false">SUMPRODUCT(3_权重!$AA$6:$AA$12,2_标准化!E6:E12)</f>
        <v>0.326119614918531</v>
      </c>
      <c r="D2" s="19" t="n">
        <f aca="false">SUMPRODUCT(3_权重!$AA$13:$AA$16,2_标准化!E13:E16)</f>
        <v>0.01</v>
      </c>
      <c r="F2" s="20" t="n">
        <v>0.01</v>
      </c>
      <c r="G2" s="20" t="n">
        <v>0.326</v>
      </c>
      <c r="H2" s="20" t="n">
        <v>0.01</v>
      </c>
      <c r="J2" s="21" t="n">
        <f aca="false">B2-F2</f>
        <v>0</v>
      </c>
      <c r="K2" s="21" t="n">
        <f aca="false">C2-G2</f>
        <v>0.000119614918530964</v>
      </c>
      <c r="L2" s="21" t="n">
        <f aca="false">D2-H2</f>
        <v>0</v>
      </c>
    </row>
    <row r="3" customFormat="false" ht="15" hidden="false" customHeight="false" outlineLevel="0" collapsed="false">
      <c r="A3" s="16" t="s">
        <v>18</v>
      </c>
      <c r="B3" s="19" t="n">
        <f aca="false">SUMPRODUCT(3_权重!$AA$2:$AA$5,2_标准化!F2:F5)</f>
        <v>0.195223083767932</v>
      </c>
      <c r="C3" s="19" t="n">
        <f aca="false">SUMPRODUCT(3_权重!$AA$6:$AA$12,2_标准化!F6:F12)</f>
        <v>0.324879199904749</v>
      </c>
      <c r="D3" s="19" t="n">
        <f aca="false">SUMPRODUCT(3_权重!$AA$13:$AA$16,2_标准化!F13:F16)</f>
        <v>0.233112075840121</v>
      </c>
      <c r="F3" s="20" t="n">
        <v>0.195</v>
      </c>
      <c r="G3" s="20" t="n">
        <v>0.325</v>
      </c>
      <c r="H3" s="20" t="n">
        <v>0.233</v>
      </c>
      <c r="J3" s="21" t="n">
        <f aca="false">B3-F3</f>
        <v>0.000223083767932092</v>
      </c>
      <c r="K3" s="21" t="n">
        <f aca="false">C3-G3</f>
        <v>-0.000120800095250617</v>
      </c>
      <c r="L3" s="21" t="n">
        <f aca="false">D3-H3</f>
        <v>0.000112075840120796</v>
      </c>
    </row>
    <row r="4" customFormat="false" ht="15" hidden="false" customHeight="false" outlineLevel="0" collapsed="false">
      <c r="A4" s="16" t="s">
        <v>19</v>
      </c>
      <c r="B4" s="19" t="n">
        <f aca="false">SUMPRODUCT(3_权重!$AA$2:$AA$5,2_标准化!G2:G5)</f>
        <v>0.371704383113012</v>
      </c>
      <c r="C4" s="19" t="n">
        <f aca="false">SUMPRODUCT(3_权重!$AA$6:$AA$12,2_标准化!G6:G12)</f>
        <v>0.248818579380225</v>
      </c>
      <c r="D4" s="19" t="n">
        <f aca="false">SUMPRODUCT(3_权重!$AA$13:$AA$16,2_标准化!G13:G16)</f>
        <v>0.514629768524775</v>
      </c>
      <c r="F4" s="20" t="n">
        <v>0.372</v>
      </c>
      <c r="G4" s="20" t="n">
        <v>0.249</v>
      </c>
      <c r="H4" s="20" t="n">
        <v>0.515</v>
      </c>
      <c r="J4" s="21" t="n">
        <f aca="false">B4-F4</f>
        <v>-0.000295616886987704</v>
      </c>
      <c r="K4" s="21" t="n">
        <f aca="false">C4-G4</f>
        <v>-0.000181420619774664</v>
      </c>
      <c r="L4" s="21" t="n">
        <f aca="false">D4-H4</f>
        <v>-0.000370231475224636</v>
      </c>
    </row>
    <row r="5" customFormat="false" ht="15" hidden="false" customHeight="false" outlineLevel="0" collapsed="false">
      <c r="A5" s="16" t="s">
        <v>20</v>
      </c>
      <c r="B5" s="19" t="n">
        <f aca="false">SUMPRODUCT(3_权重!$AA$2:$AA$5,2_标准化!H2:H5)</f>
        <v>0.408311488443706</v>
      </c>
      <c r="C5" s="19" t="n">
        <f aca="false">SUMPRODUCT(3_权重!$AA$6:$AA$12,2_标准化!H6:H12)</f>
        <v>0.3424588584743</v>
      </c>
      <c r="D5" s="19" t="n">
        <f aca="false">SUMPRODUCT(3_权重!$AA$13:$AA$16,2_标准化!H13:H16)</f>
        <v>0.652552784672427</v>
      </c>
      <c r="F5" s="20" t="n">
        <v>0.408</v>
      </c>
      <c r="G5" s="20" t="n">
        <v>0.342</v>
      </c>
      <c r="H5" s="20" t="n">
        <v>0.653</v>
      </c>
      <c r="J5" s="21" t="n">
        <f aca="false">B5-F5</f>
        <v>0.000311488443705932</v>
      </c>
      <c r="K5" s="21" t="n">
        <f aca="false">C5-G5</f>
        <v>0.000458858474300272</v>
      </c>
      <c r="L5" s="21" t="n">
        <f aca="false">D5-H5</f>
        <v>-0.000447215327572748</v>
      </c>
    </row>
    <row r="6" customFormat="false" ht="15" hidden="false" customHeight="false" outlineLevel="0" collapsed="false">
      <c r="A6" s="16" t="s">
        <v>21</v>
      </c>
      <c r="B6" s="19" t="n">
        <f aca="false">SUMPRODUCT(3_权重!$AA$2:$AA$5,2_标准化!I2:I5)</f>
        <v>0.490163183836614</v>
      </c>
      <c r="C6" s="19" t="n">
        <f aca="false">SUMPRODUCT(3_权重!$AA$6:$AA$12,2_标准化!I6:I12)</f>
        <v>0.359277576482683</v>
      </c>
      <c r="D6" s="19" t="n">
        <f aca="false">SUMPRODUCT(3_权重!$AA$13:$AA$16,2_标准化!I13:I16)</f>
        <v>0.715408567828711</v>
      </c>
      <c r="F6" s="20" t="n">
        <v>0.49</v>
      </c>
      <c r="G6" s="20" t="n">
        <v>0.359</v>
      </c>
      <c r="H6" s="20" t="n">
        <v>0.715</v>
      </c>
      <c r="J6" s="21" t="n">
        <f aca="false">B6-F6</f>
        <v>0.000163183836613623</v>
      </c>
      <c r="K6" s="21" t="n">
        <f aca="false">C6-G6</f>
        <v>0.000277576482682507</v>
      </c>
      <c r="L6" s="21" t="n">
        <f aca="false">D6-H6</f>
        <v>0.000408567828710571</v>
      </c>
    </row>
    <row r="7" customFormat="false" ht="15" hidden="false" customHeight="false" outlineLevel="0" collapsed="false">
      <c r="A7" s="16" t="s">
        <v>22</v>
      </c>
      <c r="B7" s="19" t="n">
        <f aca="false">SUMPRODUCT(3_权重!$AA$2:$AA$5,2_标准化!J2:J5)</f>
        <v>0.555054175856175</v>
      </c>
      <c r="C7" s="19" t="n">
        <f aca="false">SUMPRODUCT(3_权重!$AA$6:$AA$12,2_标准化!J6:J12)</f>
        <v>0.459307917235159</v>
      </c>
      <c r="D7" s="19" t="n">
        <f aca="false">SUMPRODUCT(3_权重!$AA$13:$AA$16,2_标准化!J13:J16)</f>
        <v>0.725898794674055</v>
      </c>
      <c r="F7" s="20" t="n">
        <v>0.555</v>
      </c>
      <c r="G7" s="20" t="n">
        <v>0.459</v>
      </c>
      <c r="H7" s="20" t="n">
        <v>0.726</v>
      </c>
      <c r="J7" s="21" t="n">
        <f aca="false">B7-F7</f>
        <v>5.41758561747319E-005</v>
      </c>
      <c r="K7" s="21" t="n">
        <f aca="false">C7-G7</f>
        <v>0.000307917235158828</v>
      </c>
      <c r="L7" s="21" t="n">
        <f aca="false">D7-H7</f>
        <v>-0.000101205325945264</v>
      </c>
    </row>
    <row r="8" customFormat="false" ht="15" hidden="false" customHeight="false" outlineLevel="0" collapsed="false">
      <c r="A8" s="16" t="s">
        <v>23</v>
      </c>
      <c r="B8" s="19" t="n">
        <f aca="false">SUMPRODUCT(3_权重!$AA$2:$AA$5,2_标准化!K2:K5)</f>
        <v>0.547500623303805</v>
      </c>
      <c r="C8" s="19" t="n">
        <f aca="false">SUMPRODUCT(3_权重!$AA$6:$AA$12,2_标准化!K6:K12)</f>
        <v>0.481518075695564</v>
      </c>
      <c r="D8" s="19" t="n">
        <f aca="false">SUMPRODUCT(3_权重!$AA$13:$AA$16,2_标准化!K13:K16)</f>
        <v>0.743157951404831</v>
      </c>
      <c r="F8" s="20" t="n">
        <v>0.548</v>
      </c>
      <c r="G8" s="20" t="n">
        <v>0.482</v>
      </c>
      <c r="H8" s="20" t="n">
        <v>0.743</v>
      </c>
      <c r="J8" s="21" t="n">
        <f aca="false">B8-F8</f>
        <v>-0.00049937669619482</v>
      </c>
      <c r="K8" s="21" t="n">
        <f aca="false">C8-G8</f>
        <v>-0.000481924304435999</v>
      </c>
      <c r="L8" s="21" t="n">
        <f aca="false">D8-H8</f>
        <v>0.000157951404831325</v>
      </c>
    </row>
    <row r="9" customFormat="false" ht="15" hidden="false" customHeight="false" outlineLevel="0" collapsed="false">
      <c r="A9" s="16" t="s">
        <v>24</v>
      </c>
      <c r="B9" s="19" t="n">
        <f aca="false">SUMPRODUCT(3_权重!$AA$2:$AA$5,2_标准化!L2:L5)</f>
        <v>0.747150966720793</v>
      </c>
      <c r="C9" s="19" t="n">
        <f aca="false">SUMPRODUCT(3_权重!$AA$6:$AA$12,2_标准化!L6:L12)</f>
        <v>0.750039283857462</v>
      </c>
      <c r="D9" s="19" t="n">
        <f aca="false">SUMPRODUCT(3_权重!$AA$13:$AA$16,2_标准化!L13:L16)</f>
        <v>0.82507727145463</v>
      </c>
      <c r="F9" s="20" t="n">
        <v>0.747</v>
      </c>
      <c r="G9" s="20" t="n">
        <v>0.75</v>
      </c>
      <c r="H9" s="20" t="n">
        <v>0.825</v>
      </c>
      <c r="J9" s="21" t="n">
        <f aca="false">B9-F9</f>
        <v>0.000150966720792733</v>
      </c>
      <c r="K9" s="21" t="n">
        <f aca="false">C9-G9</f>
        <v>3.92838574624355E-005</v>
      </c>
      <c r="L9" s="21" t="n">
        <f aca="false">D9-H9</f>
        <v>7.72714546295461E-005</v>
      </c>
    </row>
    <row r="10" customFormat="false" ht="15" hidden="false" customHeight="false" outlineLevel="0" collapsed="false">
      <c r="A10" s="16" t="s">
        <v>25</v>
      </c>
      <c r="B10" s="19" t="n">
        <f aca="false">SUMPRODUCT(3_权重!$AA$2:$AA$5,2_标准化!M2:M5)</f>
        <v>0.876423239891653</v>
      </c>
      <c r="C10" s="19" t="n">
        <f aca="false">SUMPRODUCT(3_权重!$AA$6:$AA$12,2_标准化!M6:M12)</f>
        <v>0.721511411371634</v>
      </c>
      <c r="D10" s="19" t="n">
        <f aca="false">SUMPRODUCT(3_权重!$AA$13:$AA$16,2_标准化!M13:M16)</f>
        <v>0.870238630017943</v>
      </c>
      <c r="F10" s="20" t="n">
        <v>0.876</v>
      </c>
      <c r="G10" s="20" t="n">
        <v>0.722</v>
      </c>
      <c r="H10" s="20" t="n">
        <v>0.87</v>
      </c>
      <c r="J10" s="21" t="n">
        <f aca="false">B10-F10</f>
        <v>0.00042323989165316</v>
      </c>
      <c r="K10" s="21" t="n">
        <f aca="false">C10-G10</f>
        <v>-0.000488588628365538</v>
      </c>
      <c r="L10" s="21" t="n">
        <f aca="false">D10-H10</f>
        <v>0.000238630017942998</v>
      </c>
    </row>
    <row r="11" customFormat="false" ht="15" hidden="false" customHeight="false" outlineLevel="0" collapsed="false">
      <c r="A11" s="16" t="s">
        <v>26</v>
      </c>
      <c r="B11" s="19" t="n">
        <f aca="false">SUMPRODUCT(3_权重!$AA$2:$AA$5,2_标准化!N2:N5)</f>
        <v>1</v>
      </c>
      <c r="C11" s="19" t="n">
        <f aca="false">SUMPRODUCT(3_权重!$AA$6:$AA$12,2_标准化!N6:N12)</f>
        <v>0.666400518238489</v>
      </c>
      <c r="D11" s="19" t="n">
        <f aca="false">SUMPRODUCT(3_权重!$AA$13:$AA$16,2_标准化!N13:N16)</f>
        <v>1</v>
      </c>
      <c r="F11" s="20" t="n">
        <v>1</v>
      </c>
      <c r="G11" s="20" t="n">
        <v>0.666</v>
      </c>
      <c r="H11" s="20" t="n">
        <v>1</v>
      </c>
      <c r="J11" s="21" t="n">
        <f aca="false">B11-F11</f>
        <v>0</v>
      </c>
      <c r="K11" s="21" t="n">
        <f aca="false">C11-G11</f>
        <v>0.000400518238488967</v>
      </c>
      <c r="L11" s="21" t="n">
        <f aca="false">D11-H11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9"/>
    <col collapsed="false" customWidth="true" hidden="false" outlineLevel="0" max="10" min="10" style="1" width="10"/>
    <col collapsed="false" customWidth="true" hidden="false" outlineLevel="0" max="15" min="11" style="1" width="9"/>
  </cols>
  <sheetData>
    <row r="1" customFormat="false" ht="15" hidden="false" customHeight="false" outlineLevel="0" collapsed="false">
      <c r="A1" s="6" t="s">
        <v>82</v>
      </c>
      <c r="B1" s="7" t="s">
        <v>92</v>
      </c>
      <c r="C1" s="7" t="s">
        <v>93</v>
      </c>
      <c r="D1" s="7" t="s">
        <v>94</v>
      </c>
      <c r="E1" s="6" t="s">
        <v>95</v>
      </c>
      <c r="F1" s="7" t="s">
        <v>96</v>
      </c>
      <c r="G1" s="6" t="s">
        <v>97</v>
      </c>
      <c r="H1" s="6" t="s">
        <v>98</v>
      </c>
      <c r="I1" s="6" t="s">
        <v>99</v>
      </c>
      <c r="J1" s="6" t="s">
        <v>100</v>
      </c>
      <c r="K1" s="6" t="s">
        <v>101</v>
      </c>
      <c r="L1" s="7" t="s">
        <v>102</v>
      </c>
      <c r="N1" s="6" t="s">
        <v>103</v>
      </c>
      <c r="O1" s="7" t="s">
        <v>104</v>
      </c>
    </row>
    <row r="2" customFormat="false" ht="15" hidden="false" customHeight="false" outlineLevel="0" collapsed="false">
      <c r="A2" s="16" t="s">
        <v>17</v>
      </c>
      <c r="B2" s="19" t="n">
        <f aca="false">4_子系统指数!B2</f>
        <v>0.01</v>
      </c>
      <c r="C2" s="19" t="n">
        <f aca="false">4_子系统指数!C2</f>
        <v>0.326119614918531</v>
      </c>
      <c r="D2" s="19" t="n">
        <f aca="false">4_子系统指数!D2</f>
        <v>0.01</v>
      </c>
      <c r="E2" s="21" t="n">
        <f aca="false">3*((B2*C2*D2)/(B2+C2+D2)^3)^(1/3)</f>
        <v>0.276919804586103</v>
      </c>
      <c r="F2" s="21" t="n">
        <f aca="false">(B2+C2+D2)/3</f>
        <v>0.115373204972844</v>
      </c>
      <c r="G2" s="21" t="n">
        <f aca="false">STDEVP(B2,C2,D2)/F2</f>
        <v>1.29163626526967</v>
      </c>
      <c r="H2" s="21" t="n">
        <f aca="false">MAX(0,E2*(1-G2))</f>
        <v>0</v>
      </c>
      <c r="I2" s="21" t="n">
        <f aca="false">SQRT(H2*F2)</f>
        <v>0</v>
      </c>
      <c r="J2" s="16" t="str">
        <f aca="false">LOOKUP(I2,$R$2:$R$11,$S$2:$S$11)</f>
        <v>极度失调</v>
      </c>
      <c r="K2" s="21" t="n">
        <f aca="false">SQRT(E2*F2)</f>
        <v>0.178743182738678</v>
      </c>
      <c r="L2" s="22" t="str">
        <f aca="false">IF(I2=0,"—",(K2-I2)/I2)</f>
        <v>—</v>
      </c>
      <c r="N2" s="20" t="n">
        <v>0</v>
      </c>
      <c r="O2" s="21" t="n">
        <f aca="false">I2-N2</f>
        <v>0</v>
      </c>
      <c r="R2" s="1" t="n">
        <v>0</v>
      </c>
      <c r="S2" s="23" t="s">
        <v>105</v>
      </c>
    </row>
    <row r="3" customFormat="false" ht="15" hidden="false" customHeight="false" outlineLevel="0" collapsed="false">
      <c r="A3" s="16" t="s">
        <v>18</v>
      </c>
      <c r="B3" s="19" t="n">
        <f aca="false">4_子系统指数!B3</f>
        <v>0.195223083767932</v>
      </c>
      <c r="C3" s="19" t="n">
        <f aca="false">4_子系统指数!C3</f>
        <v>0.324879199904749</v>
      </c>
      <c r="D3" s="19" t="n">
        <f aca="false">4_子系统指数!D3</f>
        <v>0.233112075840121</v>
      </c>
      <c r="E3" s="21" t="n">
        <f aca="false">3*((B3*C3*D3)/(B3+C3+D3)^3)^(1/3)</f>
        <v>0.977556676532574</v>
      </c>
      <c r="F3" s="21" t="n">
        <f aca="false">(B3+C3+D3)/3</f>
        <v>0.251071453170934</v>
      </c>
      <c r="G3" s="21" t="n">
        <f aca="false">STDEVP(B3,C3,D3)/F3</f>
        <v>0.216806587238251</v>
      </c>
      <c r="H3" s="21" t="n">
        <f aca="false">MAX(0,E3*(1-G3))</f>
        <v>0.765615949661579</v>
      </c>
      <c r="I3" s="21" t="n">
        <f aca="false">SQRT(H3*F3)</f>
        <v>0.438433927807118</v>
      </c>
      <c r="J3" s="16" t="str">
        <f aca="false">LOOKUP(I3,$R$2:$R$11,$S$2:$S$11)</f>
        <v>濒临失调</v>
      </c>
      <c r="K3" s="21" t="n">
        <f aca="false">SQRT(E3*F3)</f>
        <v>0.495415558227618</v>
      </c>
      <c r="L3" s="22" t="n">
        <f aca="false">IF(I3=0,"—",(K3-I3)/I3)</f>
        <v>0.129966288661783</v>
      </c>
      <c r="N3" s="20" t="n">
        <v>0.438</v>
      </c>
      <c r="O3" s="21" t="n">
        <f aca="false">I3-N3</f>
        <v>0.000433927807118317</v>
      </c>
      <c r="R3" s="1" t="n">
        <v>0.1</v>
      </c>
      <c r="S3" s="23" t="s">
        <v>106</v>
      </c>
    </row>
    <row r="4" customFormat="false" ht="15" hidden="false" customHeight="false" outlineLevel="0" collapsed="false">
      <c r="A4" s="16" t="s">
        <v>19</v>
      </c>
      <c r="B4" s="19" t="n">
        <f aca="false">4_子系统指数!B4</f>
        <v>0.371704383113012</v>
      </c>
      <c r="C4" s="19" t="n">
        <f aca="false">4_子系统指数!C4</f>
        <v>0.248818579380225</v>
      </c>
      <c r="D4" s="19" t="n">
        <f aca="false">4_子系统指数!D4</f>
        <v>0.514629768524775</v>
      </c>
      <c r="E4" s="21" t="n">
        <f aca="false">3*((B4*C4*D4)/(B4+C4+D4)^3)^(1/3)</f>
        <v>0.957764540260212</v>
      </c>
      <c r="F4" s="21" t="n">
        <f aca="false">(B4+C4+D4)/3</f>
        <v>0.378384243672671</v>
      </c>
      <c r="G4" s="21" t="n">
        <f aca="false">STDEVP(B4,C4,D4)/F4</f>
        <v>0.287061929649456</v>
      </c>
      <c r="H4" s="21" t="n">
        <f aca="false">MAX(0,E4*(1-G4))</f>
        <v>0.682826803183291</v>
      </c>
      <c r="I4" s="21" t="n">
        <f aca="false">SQRT(H4*F4)</f>
        <v>0.508301980600054</v>
      </c>
      <c r="J4" s="16" t="str">
        <f aca="false">LOOKUP(I4,$R$2:$R$11,$S$2:$S$11)</f>
        <v>勉强协调</v>
      </c>
      <c r="K4" s="21" t="n">
        <f aca="false">SQRT(E4*F4)</f>
        <v>0.601999178722748</v>
      </c>
      <c r="L4" s="22" t="n">
        <f aca="false">IF(I4=0,"—",(K4-I4)/I4)</f>
        <v>0.184333726207568</v>
      </c>
      <c r="N4" s="20" t="n">
        <v>0.508</v>
      </c>
      <c r="O4" s="21" t="n">
        <f aca="false">I4-N4</f>
        <v>0.000301980600053597</v>
      </c>
      <c r="R4" s="1" t="n">
        <v>0.2</v>
      </c>
      <c r="S4" s="23" t="s">
        <v>107</v>
      </c>
    </row>
    <row r="5" customFormat="false" ht="15" hidden="false" customHeight="false" outlineLevel="0" collapsed="false">
      <c r="A5" s="16" t="s">
        <v>20</v>
      </c>
      <c r="B5" s="19" t="n">
        <f aca="false">4_子系统指数!B5</f>
        <v>0.408311488443706</v>
      </c>
      <c r="C5" s="19" t="n">
        <f aca="false">4_子系统指数!C5</f>
        <v>0.3424588584743</v>
      </c>
      <c r="D5" s="19" t="n">
        <f aca="false">4_子系统指数!D5</f>
        <v>0.652552784672427</v>
      </c>
      <c r="E5" s="21" t="n">
        <f aca="false">3*((B5*C5*D5)/(B5+C5+D5)^3)^(1/3)</f>
        <v>0.962429193366231</v>
      </c>
      <c r="F5" s="21" t="n">
        <f aca="false">(B5+C5+D5)/3</f>
        <v>0.467774377196811</v>
      </c>
      <c r="G5" s="21" t="n">
        <f aca="false">STDEVP(B5,C5,D5)/F5</f>
        <v>0.285170055472107</v>
      </c>
      <c r="H5" s="21" t="n">
        <f aca="false">MAX(0,E5*(1-G5))</f>
        <v>0.687973206906007</v>
      </c>
      <c r="I5" s="21" t="n">
        <f aca="false">SQRT(H5*F5)</f>
        <v>0.567288496612218</v>
      </c>
      <c r="J5" s="16" t="str">
        <f aca="false">LOOKUP(I5,$R$2:$R$11,$S$2:$S$11)</f>
        <v>勉强协调</v>
      </c>
      <c r="K5" s="21" t="n">
        <f aca="false">SQRT(E5*F5)</f>
        <v>0.670969236644213</v>
      </c>
      <c r="L5" s="22" t="n">
        <f aca="false">IF(I5=0,"—",(K5-I5)/I5)</f>
        <v>0.182765454704555</v>
      </c>
      <c r="N5" s="20" t="n">
        <v>0.567</v>
      </c>
      <c r="O5" s="21" t="n">
        <f aca="false">I5-N5</f>
        <v>0.00028849661221797</v>
      </c>
      <c r="R5" s="1" t="n">
        <v>0.3</v>
      </c>
      <c r="S5" s="23" t="s">
        <v>108</v>
      </c>
    </row>
    <row r="6" customFormat="false" ht="15" hidden="false" customHeight="false" outlineLevel="0" collapsed="false">
      <c r="A6" s="16" t="s">
        <v>21</v>
      </c>
      <c r="B6" s="19" t="n">
        <f aca="false">4_子系统指数!B6</f>
        <v>0.490163183836614</v>
      </c>
      <c r="C6" s="19" t="n">
        <f aca="false">4_子系统指数!C6</f>
        <v>0.359277576482683</v>
      </c>
      <c r="D6" s="19" t="n">
        <f aca="false">4_子系统指数!D6</f>
        <v>0.715408567828711</v>
      </c>
      <c r="E6" s="21" t="n">
        <f aca="false">3*((B6*C6*D6)/(B6+C6+D6)^3)^(1/3)</f>
        <v>0.961074467269834</v>
      </c>
      <c r="F6" s="21" t="n">
        <f aca="false">(B6+C6+D6)/3</f>
        <v>0.521616442716002</v>
      </c>
      <c r="G6" s="21" t="n">
        <f aca="false">STDEVP(B6,C6,D6)/F6</f>
        <v>0.281971862455664</v>
      </c>
      <c r="H6" s="21" t="n">
        <f aca="false">MAX(0,E6*(1-G6))</f>
        <v>0.690078509775174</v>
      </c>
      <c r="I6" s="21" t="n">
        <f aca="false">SQRT(H6*F6)</f>
        <v>0.599963580114398</v>
      </c>
      <c r="J6" s="16" t="str">
        <f aca="false">LOOKUP(I6,$R$2:$R$11,$S$2:$S$11)</f>
        <v>勉强协调</v>
      </c>
      <c r="K6" s="21" t="n">
        <f aca="false">SQRT(E6*F6)</f>
        <v>0.708034070368417</v>
      </c>
      <c r="L6" s="22" t="n">
        <f aca="false">IF(I6=0,"—",(K6-I6)/I6)</f>
        <v>0.180128417517296</v>
      </c>
      <c r="N6" s="20" t="n">
        <v>0.6</v>
      </c>
      <c r="O6" s="21" t="n">
        <f aca="false">I6-N6</f>
        <v>-3.64198856016573E-005</v>
      </c>
      <c r="R6" s="1" t="n">
        <v>0.4</v>
      </c>
      <c r="S6" s="23" t="s">
        <v>109</v>
      </c>
    </row>
    <row r="7" customFormat="false" ht="15" hidden="false" customHeight="false" outlineLevel="0" collapsed="false">
      <c r="A7" s="16" t="s">
        <v>22</v>
      </c>
      <c r="B7" s="19" t="n">
        <f aca="false">4_子系统指数!B7</f>
        <v>0.555054175856175</v>
      </c>
      <c r="C7" s="19" t="n">
        <f aca="false">4_子系统指数!C7</f>
        <v>0.459307917235159</v>
      </c>
      <c r="D7" s="19" t="n">
        <f aca="false">4_子系统指数!D7</f>
        <v>0.725898794674055</v>
      </c>
      <c r="E7" s="21" t="n">
        <f aca="false">3*((B7*C7*D7)/(B7+C7+D7)^3)^(1/3)</f>
        <v>0.982378137631042</v>
      </c>
      <c r="F7" s="21" t="n">
        <f aca="false">(B7+C7+D7)/3</f>
        <v>0.580086962588463</v>
      </c>
      <c r="G7" s="21" t="n">
        <f aca="false">STDEVP(B7,C7,D7)/F7</f>
        <v>0.190084084374743</v>
      </c>
      <c r="H7" s="21" t="n">
        <f aca="false">MAX(0,E7*(1-G7))</f>
        <v>0.79564368882968</v>
      </c>
      <c r="I7" s="21" t="n">
        <f aca="false">SQRT(H7*F7)</f>
        <v>0.679369215343093</v>
      </c>
      <c r="J7" s="16" t="str">
        <f aca="false">LOOKUP(I7,$R$2:$R$11,$S$2:$S$11)</f>
        <v>初级协调</v>
      </c>
      <c r="K7" s="21" t="n">
        <f aca="false">SQRT(E7*F7)</f>
        <v>0.754893866693658</v>
      </c>
      <c r="L7" s="22" t="n">
        <f aca="false">IF(I7=0,"—",(K7-I7)/I7)</f>
        <v>0.111168786640449</v>
      </c>
      <c r="N7" s="20" t="n">
        <v>0.679</v>
      </c>
      <c r="O7" s="21" t="n">
        <f aca="false">I7-N7</f>
        <v>0.000369215343092422</v>
      </c>
      <c r="R7" s="1" t="n">
        <v>0.5</v>
      </c>
      <c r="S7" s="23" t="s">
        <v>110</v>
      </c>
    </row>
    <row r="8" customFormat="false" ht="15" hidden="false" customHeight="false" outlineLevel="0" collapsed="false">
      <c r="A8" s="16" t="s">
        <v>23</v>
      </c>
      <c r="B8" s="19" t="n">
        <f aca="false">4_子系统指数!B8</f>
        <v>0.547500623303805</v>
      </c>
      <c r="C8" s="19" t="n">
        <f aca="false">4_子系统指数!C8</f>
        <v>0.481518075695564</v>
      </c>
      <c r="D8" s="19" t="n">
        <f aca="false">4_子系统指数!D8</f>
        <v>0.743157951404831</v>
      </c>
      <c r="E8" s="21" t="n">
        <f aca="false">3*((B8*C8*D8)/(B8+C8+D8)^3)^(1/3)</f>
        <v>0.983196578230828</v>
      </c>
      <c r="F8" s="21" t="n">
        <f aca="false">(B8+C8+D8)/3</f>
        <v>0.590725550134734</v>
      </c>
      <c r="G8" s="21" t="n">
        <f aca="false">STDEVP(B8,C8,D8)/F8</f>
        <v>0.188075512674144</v>
      </c>
      <c r="H8" s="21" t="n">
        <f aca="false">MAX(0,E8*(1-G8))</f>
        <v>0.798281377720601</v>
      </c>
      <c r="I8" s="21" t="n">
        <f aca="false">SQRT(H8*F8)</f>
        <v>0.686706055031055</v>
      </c>
      <c r="J8" s="16" t="str">
        <f aca="false">LOOKUP(I8,$R$2:$R$11,$S$2:$S$11)</f>
        <v>初级协调</v>
      </c>
      <c r="K8" s="21" t="n">
        <f aca="false">SQRT(E8*F8)</f>
        <v>0.762101922032738</v>
      </c>
      <c r="L8" s="22" t="n">
        <f aca="false">IF(I8=0,"—",(K8-I8)/I8)</f>
        <v>0.109793508371312</v>
      </c>
      <c r="N8" s="20" t="n">
        <v>0.687</v>
      </c>
      <c r="O8" s="21" t="n">
        <f aca="false">I8-N8</f>
        <v>-0.000293944968944748</v>
      </c>
      <c r="R8" s="1" t="n">
        <v>0.6</v>
      </c>
      <c r="S8" s="23" t="s">
        <v>111</v>
      </c>
    </row>
    <row r="9" customFormat="false" ht="15" hidden="false" customHeight="false" outlineLevel="0" collapsed="false">
      <c r="A9" s="16" t="s">
        <v>24</v>
      </c>
      <c r="B9" s="19" t="n">
        <f aca="false">4_子系统指数!B9</f>
        <v>0.747150966720793</v>
      </c>
      <c r="C9" s="19" t="n">
        <f aca="false">4_子系统指数!C9</f>
        <v>0.750039283857462</v>
      </c>
      <c r="D9" s="19" t="n">
        <f aca="false">4_子系统指数!D9</f>
        <v>0.82507727145463</v>
      </c>
      <c r="E9" s="21" t="n">
        <f aca="false">3*((B9*C9*D9)/(B9+C9+D9)^3)^(1/3)</f>
        <v>0.998936783434373</v>
      </c>
      <c r="F9" s="21" t="n">
        <f aca="false">(B9+C9+D9)/3</f>
        <v>0.774089174010962</v>
      </c>
      <c r="G9" s="21" t="n">
        <f aca="false">STDEVP(B9,C9,D9)/F9</f>
        <v>0.0466009700642576</v>
      </c>
      <c r="H9" s="21" t="n">
        <f aca="false">MAX(0,E9*(1-G9))</f>
        <v>0.952385360293462</v>
      </c>
      <c r="I9" s="21" t="n">
        <f aca="false">SQRT(H9*F9)</f>
        <v>0.858621684381252</v>
      </c>
      <c r="J9" s="16" t="str">
        <f aca="false">LOOKUP(I9,$R$2:$R$11,$S$2:$S$11)</f>
        <v>良好协调</v>
      </c>
      <c r="K9" s="21" t="n">
        <f aca="false">SQRT(E9*F9)</f>
        <v>0.879355530816677</v>
      </c>
      <c r="L9" s="22" t="n">
        <f aca="false">IF(I9=0,"—",(K9-I9)/I9)</f>
        <v>0.0241478253025568</v>
      </c>
      <c r="N9" s="20" t="n">
        <v>0.859</v>
      </c>
      <c r="O9" s="21" t="n">
        <f aca="false">I9-N9</f>
        <v>-0.000378315618748126</v>
      </c>
      <c r="R9" s="1" t="n">
        <v>0.7</v>
      </c>
      <c r="S9" s="23" t="s">
        <v>112</v>
      </c>
    </row>
    <row r="10" customFormat="false" ht="15" hidden="false" customHeight="false" outlineLevel="0" collapsed="false">
      <c r="A10" s="16" t="s">
        <v>25</v>
      </c>
      <c r="B10" s="19" t="n">
        <f aca="false">4_子系统指数!B10</f>
        <v>0.876423239891653</v>
      </c>
      <c r="C10" s="19" t="n">
        <f aca="false">4_子系统指数!C10</f>
        <v>0.721511411371634</v>
      </c>
      <c r="D10" s="19" t="n">
        <f aca="false">4_子系统指数!D10</f>
        <v>0.870238630017943</v>
      </c>
      <c r="E10" s="21" t="n">
        <f aca="false">3*((B10*C10*D10)/(B10+C10+D10)^3)^(1/3)</f>
        <v>0.996041477413271</v>
      </c>
      <c r="F10" s="21" t="n">
        <f aca="false">(B10+C10+D10)/3</f>
        <v>0.822724427093744</v>
      </c>
      <c r="G10" s="21" t="n">
        <f aca="false">STDEVP(B10,C10,D10)/F10</f>
        <v>0.0870436450665851</v>
      </c>
      <c r="H10" s="21" t="n">
        <f aca="false">MAX(0,E10*(1-G10))</f>
        <v>0.909342396581713</v>
      </c>
      <c r="I10" s="21" t="n">
        <f aca="false">SQRT(H10*F10)</f>
        <v>0.864949826440668</v>
      </c>
      <c r="J10" s="16" t="str">
        <f aca="false">LOOKUP(I10,$R$2:$R$11,$S$2:$S$11)</f>
        <v>良好协调</v>
      </c>
      <c r="K10" s="21" t="n">
        <f aca="false">SQRT(E10*F10)</f>
        <v>0.905244527112116</v>
      </c>
      <c r="L10" s="22" t="n">
        <f aca="false">IF(I10=0,"—",(K10-I10)/I10)</f>
        <v>0.0465861711739558</v>
      </c>
      <c r="N10" s="20" t="n">
        <v>0.865</v>
      </c>
      <c r="O10" s="21" t="n">
        <f aca="false">I10-N10</f>
        <v>-5.01735593319008E-005</v>
      </c>
      <c r="R10" s="1" t="n">
        <v>0.8</v>
      </c>
      <c r="S10" s="23" t="s">
        <v>113</v>
      </c>
    </row>
    <row r="11" customFormat="false" ht="15" hidden="false" customHeight="false" outlineLevel="0" collapsed="false">
      <c r="A11" s="16" t="s">
        <v>26</v>
      </c>
      <c r="B11" s="19" t="n">
        <f aca="false">4_子系统指数!B11</f>
        <v>1</v>
      </c>
      <c r="C11" s="19" t="n">
        <f aca="false">4_子系统指数!C11</f>
        <v>0.666400518238489</v>
      </c>
      <c r="D11" s="19" t="n">
        <f aca="false">4_子系统指数!D11</f>
        <v>1</v>
      </c>
      <c r="E11" s="21" t="n">
        <f aca="false">3*((B11*C11*D11)/(B11+C11+D11)^3)^(1/3)</f>
        <v>0.982745306552186</v>
      </c>
      <c r="F11" s="21" t="n">
        <f aca="false">(B11+C11+D11)/3</f>
        <v>0.888800172746163</v>
      </c>
      <c r="G11" s="21" t="n">
        <f aca="false">STDEVP(B11,C11,D11)/F11</f>
        <v>0.176935500979965</v>
      </c>
      <c r="H11" s="21" t="n">
        <f aca="false">MAX(0,E11*(1-G11))</f>
        <v>0.808862773401666</v>
      </c>
      <c r="I11" s="21" t="n">
        <f aca="false">SQRT(H11*F11)</f>
        <v>0.84788995319401</v>
      </c>
      <c r="J11" s="16" t="str">
        <f aca="false">LOOKUP(I11,$R$2:$R$11,$S$2:$S$11)</f>
        <v>良好协调</v>
      </c>
      <c r="K11" s="21" t="n">
        <f aca="false">SQRT(E11*F11)</f>
        <v>0.93459306557938</v>
      </c>
      <c r="L11" s="22" t="n">
        <f aca="false">IF(I11=0,"—",(K11-I11)/I11)</f>
        <v>0.10225750648272</v>
      </c>
      <c r="N11" s="20" t="n">
        <v>0.848</v>
      </c>
      <c r="O11" s="21" t="n">
        <f aca="false">I11-N11</f>
        <v>-0.000110046805989694</v>
      </c>
      <c r="R11" s="1" t="n">
        <v>0.9</v>
      </c>
      <c r="S11" s="2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2" min="2" style="1" width="8"/>
  </cols>
  <sheetData>
    <row r="1" customFormat="false" ht="15" hidden="false" customHeight="false" outlineLevel="0" collapsed="false">
      <c r="A1" s="6" t="s">
        <v>14</v>
      </c>
      <c r="B1" s="6" t="s">
        <v>13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6" t="s">
        <v>115</v>
      </c>
      <c r="N1" s="6" t="s">
        <v>116</v>
      </c>
    </row>
    <row r="2" customFormat="false" ht="15" hidden="false" customHeight="false" outlineLevel="0" collapsed="false">
      <c r="A2" s="13" t="str">
        <f aca="false">2_标准化!B2</f>
        <v>地方一般公共预算收入</v>
      </c>
      <c r="B2" s="12" t="str">
        <f aca="false">2_标准化!A2</f>
        <v>安全 S</v>
      </c>
      <c r="C2" s="22" t="n">
        <f aca="false">3_权重!$AA2*(1-2_标准化!E2)/C$19</f>
        <v>0.122157995878154</v>
      </c>
      <c r="D2" s="22" t="n">
        <f aca="false">3_权重!$AA2*(1-2_标准化!F2)/D$19</f>
        <v>0.11769882008843</v>
      </c>
      <c r="E2" s="22" t="n">
        <f aca="false">3_权重!$AA2*(1-2_标准化!G2)/E$19</f>
        <v>0.0940031598640765</v>
      </c>
      <c r="F2" s="22" t="n">
        <f aca="false">3_权重!$AA2*(1-2_标准化!H2)/F$19</f>
        <v>0.120275294313646</v>
      </c>
      <c r="G2" s="22" t="n">
        <f aca="false">3_权重!$AA2*(1-2_标准化!I2)/G$19</f>
        <v>0.135207463599572</v>
      </c>
      <c r="H2" s="22" t="n">
        <f aca="false">3_权重!$AA2*(1-2_标准化!J2)/H$19</f>
        <v>0.162569727113095</v>
      </c>
      <c r="I2" s="22" t="n">
        <f aca="false">3_权重!$AA2*(1-2_标准化!K2)/I$19</f>
        <v>0.225487071144311</v>
      </c>
      <c r="J2" s="22" t="n">
        <f aca="false">3_权重!$AA2*(1-2_标准化!L2)/J$19</f>
        <v>0.240105181581554</v>
      </c>
      <c r="K2" s="22" t="n">
        <f aca="false">3_权重!$AA2*(1-2_标准化!M2)/K$19</f>
        <v>0.153271187062253</v>
      </c>
      <c r="L2" s="22" t="n">
        <f aca="false">3_权重!$AA2*(1-2_标准化!N2)/L$19</f>
        <v>0</v>
      </c>
      <c r="M2" s="22" t="n">
        <f aca="false">AVERAGE(C2:L2)</f>
        <v>0.137077590064509</v>
      </c>
      <c r="N2" s="16" t="n">
        <f aca="false">RANK(M2,$M$2:$M$16)</f>
        <v>2</v>
      </c>
    </row>
    <row r="3" customFormat="false" ht="15" hidden="false" customHeight="false" outlineLevel="0" collapsed="false">
      <c r="A3" s="13" t="str">
        <f aca="false">2_标准化!B3</f>
        <v>城乡居民人均可支配收入比</v>
      </c>
      <c r="B3" s="12" t="str">
        <f aca="false">2_标准化!A3</f>
        <v>安全 S</v>
      </c>
      <c r="C3" s="22" t="n">
        <f aca="false">3_权重!$AA3*(1-2_标准化!E3)/C$19</f>
        <v>0.0945756543901889</v>
      </c>
      <c r="D3" s="22" t="n">
        <f aca="false">3_权重!$AA3*(1-2_标准化!F3)/D$19</f>
        <v>0.0928373466054298</v>
      </c>
      <c r="E3" s="22" t="n">
        <f aca="false">3_权重!$AA3*(1-2_标准化!G3)/E$19</f>
        <v>0.107353975583428</v>
      </c>
      <c r="F3" s="22" t="n">
        <f aca="false">3_权重!$AA3*(1-2_标准化!H3)/F$19</f>
        <v>0.106346670238764</v>
      </c>
      <c r="G3" s="22" t="n">
        <f aca="false">3_权重!$AA3*(1-2_标准化!I3)/G$19</f>
        <v>0.0950660723804563</v>
      </c>
      <c r="H3" s="22" t="n">
        <f aca="false">3_权重!$AA3*(1-2_标准化!J3)/H$19</f>
        <v>0.0802753353268262</v>
      </c>
      <c r="I3" s="22" t="n">
        <f aca="false">3_权重!$AA3*(1-2_标准化!K3)/I$19</f>
        <v>0.0554732893206266</v>
      </c>
      <c r="J3" s="22" t="n">
        <f aca="false">3_权重!$AA3*(1-2_标准化!L3)/J$19</f>
        <v>0.0489747107678235</v>
      </c>
      <c r="K3" s="22" t="n">
        <f aca="false">3_权重!$AA3*(1-2_标准化!M3)/K$19</f>
        <v>0.0303298671928331</v>
      </c>
      <c r="L3" s="22" t="n">
        <f aca="false">3_权重!$AA3*(1-2_标准化!N3)/L$19</f>
        <v>0</v>
      </c>
      <c r="M3" s="22" t="n">
        <f aca="false">AVERAGE(C3:L3)</f>
        <v>0.0711232921806377</v>
      </c>
      <c r="N3" s="16" t="n">
        <f aca="false">RANK(M3,$M$2:$M$16)</f>
        <v>8</v>
      </c>
    </row>
    <row r="4" customFormat="false" ht="15" hidden="false" customHeight="false" outlineLevel="0" collapsed="false">
      <c r="A4" s="13" t="str">
        <f aca="false">2_标准化!B4</f>
        <v>居民医保人均财政补助标准</v>
      </c>
      <c r="B4" s="12" t="str">
        <f aca="false">2_标准化!A4</f>
        <v>安全 S</v>
      </c>
      <c r="C4" s="22" t="n">
        <f aca="false">3_权重!$AA4*(1-2_标准化!E4)/C$19</f>
        <v>0.0907049522365891</v>
      </c>
      <c r="D4" s="22" t="n">
        <f aca="false">3_权重!$AA4*(1-2_标准化!F4)/D$19</f>
        <v>0.0969359810960978</v>
      </c>
      <c r="E4" s="22" t="n">
        <f aca="false">3_权重!$AA4*(1-2_标准化!G4)/E$19</f>
        <v>0.0901532114232937</v>
      </c>
      <c r="F4" s="22" t="n">
        <f aca="false">3_权重!$AA4*(1-2_标准化!H4)/F$19</f>
        <v>0.10529492437637</v>
      </c>
      <c r="G4" s="22" t="n">
        <f aca="false">3_权重!$AA4*(1-2_标准化!I4)/G$19</f>
        <v>0.0985090247471126</v>
      </c>
      <c r="H4" s="22" t="n">
        <f aca="false">3_权重!$AA4*(1-2_标准化!J4)/H$19</f>
        <v>0.0940270637799004</v>
      </c>
      <c r="I4" s="22" t="n">
        <f aca="false">3_权重!$AA4*(1-2_标准化!K4)/I$19</f>
        <v>0.0746873667282235</v>
      </c>
      <c r="J4" s="22" t="n">
        <f aca="false">3_权重!$AA4*(1-2_标准化!L4)/J$19</f>
        <v>0.0676541967295146</v>
      </c>
      <c r="K4" s="22" t="n">
        <f aca="false">3_权重!$AA4*(1-2_标准化!M4)/K$19</f>
        <v>0.0431075054905383</v>
      </c>
      <c r="L4" s="22" t="n">
        <f aca="false">3_权重!$AA4*(1-2_标准化!N4)/L$19</f>
        <v>0</v>
      </c>
      <c r="M4" s="22" t="n">
        <f aca="false">AVERAGE(C4:L4)</f>
        <v>0.076107422660764</v>
      </c>
      <c r="N4" s="16" t="n">
        <f aca="false">RANK(M4,$M$2:$M$16)</f>
        <v>5</v>
      </c>
    </row>
    <row r="5" customFormat="false" ht="15" hidden="false" customHeight="false" outlineLevel="0" collapsed="false">
      <c r="A5" s="13" t="str">
        <f aca="false">2_标准化!B5</f>
        <v>基本养老保险参保率</v>
      </c>
      <c r="B5" s="12" t="str">
        <f aca="false">2_标准化!A5</f>
        <v>安全 S</v>
      </c>
      <c r="C5" s="22" t="n">
        <f aca="false">3_权重!$AA5*(1-2_标准化!E5)/C$19</f>
        <v>0.0656000640322593</v>
      </c>
      <c r="D5" s="22" t="n">
        <f aca="false">3_权重!$AA5*(1-2_标准化!F5)/D$19</f>
        <v>0.0507181938830283</v>
      </c>
      <c r="E5" s="22" t="n">
        <f aca="false">3_权重!$AA5*(1-2_标准化!G5)/E$19</f>
        <v>0.0454049744734379</v>
      </c>
      <c r="F5" s="22" t="n">
        <f aca="false">3_权重!$AA5*(1-2_标准化!H5)/F$19</f>
        <v>0.0386580991999504</v>
      </c>
      <c r="G5" s="22" t="n">
        <f aca="false">3_权重!$AA5*(1-2_标准化!I5)/G$19</f>
        <v>0.0264671187406367</v>
      </c>
      <c r="H5" s="22" t="n">
        <f aca="false">3_权重!$AA5*(1-2_标准化!J5)/H$19</f>
        <v>0.0163326126205481</v>
      </c>
      <c r="I5" s="22" t="n">
        <f aca="false">3_权重!$AA5*(1-2_标准化!K5)/I$19</f>
        <v>0.0128901222011822</v>
      </c>
      <c r="J5" s="22" t="n">
        <f aca="false">3_权重!$AA5*(1-2_标准化!L5)/J$19</f>
        <v>0.0163467968152558</v>
      </c>
      <c r="K5" s="22" t="n">
        <f aca="false">3_权重!$AA5*(1-2_标准化!M5)/K$19</f>
        <v>0.00565426776717392</v>
      </c>
      <c r="L5" s="22" t="n">
        <f aca="false">3_权重!$AA5*(1-2_标准化!N5)/L$19</f>
        <v>0</v>
      </c>
      <c r="M5" s="22" t="n">
        <f aca="false">AVERAGE(C5:L5)</f>
        <v>0.0278072249733473</v>
      </c>
      <c r="N5" s="16" t="n">
        <f aca="false">RANK(M5,$M$2:$M$16)</f>
        <v>13</v>
      </c>
    </row>
    <row r="6" customFormat="false" ht="15" hidden="false" customHeight="false" outlineLevel="0" collapsed="false">
      <c r="A6" s="13" t="str">
        <f aca="false">2_标准化!B6</f>
        <v>人均GDP相对全国水平</v>
      </c>
      <c r="B6" s="12" t="str">
        <f aca="false">2_标准化!A6</f>
        <v>发展 D</v>
      </c>
      <c r="C6" s="22" t="n">
        <f aca="false">3_权重!$AA6*(1-2_标准化!E6)/C$19</f>
        <v>0.0591646170083821</v>
      </c>
      <c r="D6" s="22" t="n">
        <f aca="false">3_权重!$AA6*(1-2_标准化!F6)/D$19</f>
        <v>0.067856122850246</v>
      </c>
      <c r="E6" s="22" t="n">
        <f aca="false">3_权重!$AA6*(1-2_标准化!G6)/E$19</f>
        <v>0.0800593974460332</v>
      </c>
      <c r="F6" s="22" t="n">
        <f aca="false">3_权重!$AA6*(1-2_标准化!H6)/F$19</f>
        <v>0.0720949990861806</v>
      </c>
      <c r="G6" s="22" t="n">
        <f aca="false">3_权重!$AA6*(1-2_标准化!I6)/G$19</f>
        <v>0.0595126422404392</v>
      </c>
      <c r="H6" s="22" t="n">
        <f aca="false">3_权重!$AA6*(1-2_标准化!J6)/H$19</f>
        <v>0.102063224695972</v>
      </c>
      <c r="I6" s="22" t="n">
        <f aca="false">3_权重!$AA6*(1-2_标准化!K6)/I$19</f>
        <v>0.103781337873641</v>
      </c>
      <c r="J6" s="22" t="n">
        <f aca="false">3_权重!$AA6*(1-2_标准化!L6)/J$19</f>
        <v>0.118024164165502</v>
      </c>
      <c r="K6" s="22" t="n">
        <f aca="false">3_权重!$AA6*(1-2_标准化!M6)/K$19</f>
        <v>0.0575976495472229</v>
      </c>
      <c r="L6" s="22" t="n">
        <f aca="false">3_权重!$AA6*(1-2_标准化!N6)/L$19</f>
        <v>0</v>
      </c>
      <c r="M6" s="22" t="n">
        <f aca="false">AVERAGE(C6:L6)</f>
        <v>0.072015415491362</v>
      </c>
      <c r="N6" s="16" t="n">
        <f aca="false">RANK(M6,$M$2:$M$16)</f>
        <v>6</v>
      </c>
    </row>
    <row r="7" customFormat="false" ht="15" hidden="false" customHeight="false" outlineLevel="0" collapsed="false">
      <c r="A7" s="13" t="str">
        <f aca="false">2_标准化!B7</f>
        <v>第三产业增加值比重</v>
      </c>
      <c r="B7" s="12" t="str">
        <f aca="false">2_标准化!A7</f>
        <v>发展 D</v>
      </c>
      <c r="C7" s="22" t="n">
        <f aca="false">3_权重!$AA7*(1-2_标准化!E7)/C$19</f>
        <v>0</v>
      </c>
      <c r="D7" s="22" t="n">
        <f aca="false">3_权重!$AA7*(1-2_标准化!F7)/D$19</f>
        <v>0.0168887682995307</v>
      </c>
      <c r="E7" s="22" t="n">
        <f aca="false">3_权重!$AA7*(1-2_标准化!G7)/E$19</f>
        <v>0.0788475231117766</v>
      </c>
      <c r="F7" s="22" t="n">
        <f aca="false">3_权重!$AA7*(1-2_标准化!H7)/F$19</f>
        <v>0.077237097416441</v>
      </c>
      <c r="G7" s="22" t="n">
        <f aca="false">3_权重!$AA7*(1-2_标准化!I7)/G$19</f>
        <v>0.0694051067030661</v>
      </c>
      <c r="H7" s="22" t="n">
        <f aca="false">3_权重!$AA7*(1-2_标准化!J7)/H$19</f>
        <v>0.0301216670438935</v>
      </c>
      <c r="I7" s="22" t="n">
        <f aca="false">3_权重!$AA7*(1-2_标准化!K7)/I$19</f>
        <v>0.0386308035612294</v>
      </c>
      <c r="J7" s="22" t="n">
        <f aca="false">3_权重!$AA7*(1-2_标准化!L7)/J$19</f>
        <v>0.0489902179955722</v>
      </c>
      <c r="K7" s="22" t="n">
        <f aca="false">3_权重!$AA7*(1-2_标准化!M7)/K$19</f>
        <v>0.347827635827585</v>
      </c>
      <c r="L7" s="22" t="n">
        <f aca="false">3_权重!$AA7*(1-2_标准化!N7)/L$19</f>
        <v>0.810436735516869</v>
      </c>
      <c r="M7" s="22" t="n">
        <f aca="false">AVERAGE(C7:L7)</f>
        <v>0.151838555547596</v>
      </c>
      <c r="N7" s="16" t="n">
        <f aca="false">RANK(M7,$M$2:$M$16)</f>
        <v>1</v>
      </c>
    </row>
    <row r="8" customFormat="false" ht="15" hidden="false" customHeight="false" outlineLevel="0" collapsed="false">
      <c r="A8" s="13" t="str">
        <f aca="false">2_标准化!B8</f>
        <v>地区生产总值</v>
      </c>
      <c r="B8" s="12" t="str">
        <f aca="false">2_标准化!A8</f>
        <v>发展 D</v>
      </c>
      <c r="C8" s="22" t="n">
        <f aca="false">3_权重!$AA8*(1-2_标准化!E8)/C$19</f>
        <v>0.0241673904840208</v>
      </c>
      <c r="D8" s="22" t="n">
        <f aca="false">3_权重!$AA8*(1-2_标准化!F8)/D$19</f>
        <v>0.025689485684955</v>
      </c>
      <c r="E8" s="22" t="n">
        <f aca="false">3_权重!$AA8*(1-2_标准化!G8)/E$19</f>
        <v>0.0271543409095688</v>
      </c>
      <c r="F8" s="22" t="n">
        <f aca="false">3_权重!$AA8*(1-2_标准化!H8)/F$19</f>
        <v>0.0280614133947813</v>
      </c>
      <c r="G8" s="22" t="n">
        <f aca="false">3_权重!$AA8*(1-2_标准化!I8)/G$19</f>
        <v>0.0261965054376781</v>
      </c>
      <c r="H8" s="22" t="n">
        <f aca="false">3_权重!$AA8*(1-2_标准化!J8)/H$19</f>
        <v>0.0246116646324334</v>
      </c>
      <c r="I8" s="22" t="n">
        <f aca="false">3_权重!$AA8*(1-2_标准化!K8)/I$19</f>
        <v>0.0226798883557702</v>
      </c>
      <c r="J8" s="22" t="n">
        <f aca="false">3_权重!$AA8*(1-2_标准化!L8)/J$19</f>
        <v>0.0257430130526657</v>
      </c>
      <c r="K8" s="22" t="n">
        <f aca="false">3_权重!$AA8*(1-2_标准化!M8)/K$19</f>
        <v>0.0159626621848954</v>
      </c>
      <c r="L8" s="22" t="n">
        <f aca="false">3_权重!$AA8*(1-2_标准化!N8)/L$19</f>
        <v>0</v>
      </c>
      <c r="M8" s="22" t="n">
        <f aca="false">AVERAGE(C8:L8)</f>
        <v>0.0220266364136769</v>
      </c>
      <c r="N8" s="16" t="n">
        <f aca="false">RANK(M8,$M$2:$M$16)</f>
        <v>15</v>
      </c>
    </row>
    <row r="9" customFormat="false" ht="15" hidden="false" customHeight="false" outlineLevel="0" collapsed="false">
      <c r="A9" s="13" t="str">
        <f aca="false">2_标准化!B9</f>
        <v>农村居民人均可支配收入</v>
      </c>
      <c r="B9" s="12" t="str">
        <f aca="false">2_标准化!A9</f>
        <v>发展 D</v>
      </c>
      <c r="C9" s="22" t="n">
        <f aca="false">3_权重!$AA9*(1-2_标准化!E9)/C$19</f>
        <v>0.0287609894412777</v>
      </c>
      <c r="D9" s="22" t="n">
        <f aca="false">3_权重!$AA9*(1-2_标准化!F9)/D$19</f>
        <v>0.0309920875424759</v>
      </c>
      <c r="E9" s="22" t="n">
        <f aca="false">3_权重!$AA9*(1-2_标准化!G9)/E$19</f>
        <v>0.0340860745194858</v>
      </c>
      <c r="F9" s="22" t="n">
        <f aca="false">3_权重!$AA9*(1-2_标准化!H9)/F$19</f>
        <v>0.0347184329526578</v>
      </c>
      <c r="G9" s="22" t="n">
        <f aca="false">3_权重!$AA9*(1-2_标准化!I9)/G$19</f>
        <v>0.0324091439366371</v>
      </c>
      <c r="H9" s="22" t="n">
        <f aca="false">3_权重!$AA9*(1-2_标准化!J9)/H$19</f>
        <v>0.0268722533462727</v>
      </c>
      <c r="I9" s="22" t="n">
        <f aca="false">3_权重!$AA9*(1-2_标准化!K9)/I$19</f>
        <v>0.0219498406169013</v>
      </c>
      <c r="J9" s="22" t="n">
        <f aca="false">3_权重!$AA9*(1-2_标准化!L9)/J$19</f>
        <v>0.0260575437734024</v>
      </c>
      <c r="K9" s="22" t="n">
        <f aca="false">3_权重!$AA9*(1-2_标准化!M9)/K$19</f>
        <v>0.016358729183186</v>
      </c>
      <c r="L9" s="22" t="n">
        <f aca="false">3_权重!$AA9*(1-2_标准化!N9)/L$19</f>
        <v>0</v>
      </c>
      <c r="M9" s="22" t="n">
        <f aca="false">AVERAGE(C9:L9)</f>
        <v>0.0252205095312297</v>
      </c>
      <c r="N9" s="16" t="n">
        <f aca="false">RANK(M9,$M$2:$M$16)</f>
        <v>14</v>
      </c>
    </row>
    <row r="10" customFormat="false" ht="15" hidden="false" customHeight="false" outlineLevel="0" collapsed="false">
      <c r="A10" s="13" t="str">
        <f aca="false">2_标准化!B10</f>
        <v>货物进出口总额</v>
      </c>
      <c r="B10" s="12" t="str">
        <f aca="false">2_标准化!A10</f>
        <v>发展 D</v>
      </c>
      <c r="C10" s="22" t="n">
        <f aca="false">3_权重!$AA10*(1-2_标准化!E10)/C$19</f>
        <v>0.0426504910788111</v>
      </c>
      <c r="D10" s="22" t="n">
        <f aca="false">3_权重!$AA10*(1-2_标准化!F10)/D$19</f>
        <v>0.0453304253443439</v>
      </c>
      <c r="E10" s="22" t="n">
        <f aca="false">3_权重!$AA10*(1-2_标准化!G10)/E$19</f>
        <v>0.0640525754517277</v>
      </c>
      <c r="F10" s="22" t="n">
        <f aca="false">3_权重!$AA10*(1-2_标准化!H10)/F$19</f>
        <v>0.0736392710639171</v>
      </c>
      <c r="G10" s="22" t="n">
        <f aca="false">3_权重!$AA10*(1-2_标准化!I10)/G$19</f>
        <v>0.110753278213393</v>
      </c>
      <c r="H10" s="22" t="n">
        <f aca="false">3_权重!$AA10*(1-2_标准化!J10)/H$19</f>
        <v>0.103631388788878</v>
      </c>
      <c r="I10" s="22" t="n">
        <f aca="false">3_权重!$AA10*(1-2_标准化!K10)/I$19</f>
        <v>0.0991393673555267</v>
      </c>
      <c r="J10" s="22" t="n">
        <f aca="false">3_权重!$AA10*(1-2_标准化!L10)/J$19</f>
        <v>0.0376972605956656</v>
      </c>
      <c r="K10" s="22" t="n">
        <f aca="false">3_权重!$AA10*(1-2_标准化!M10)/K$19</f>
        <v>0</v>
      </c>
      <c r="L10" s="22" t="n">
        <f aca="false">3_权重!$AA10*(1-2_标准化!N10)/L$19</f>
        <v>0.189563264483131</v>
      </c>
      <c r="M10" s="22" t="n">
        <f aca="false">AVERAGE(C10:L10)</f>
        <v>0.0766457322375394</v>
      </c>
      <c r="N10" s="16" t="n">
        <f aca="false">RANK(M10,$M$2:$M$16)</f>
        <v>4</v>
      </c>
    </row>
    <row r="11" customFormat="false" ht="15" hidden="false" customHeight="false" outlineLevel="0" collapsed="false">
      <c r="A11" s="13" t="str">
        <f aca="false">2_标准化!B11</f>
        <v>接待游客总人数</v>
      </c>
      <c r="B11" s="12" t="str">
        <f aca="false">2_标准化!A11</f>
        <v>发展 D</v>
      </c>
      <c r="C11" s="22" t="n">
        <f aca="false">3_权重!$AA11*(1-2_标准化!E11)/C$19</f>
        <v>0.0438785025669391</v>
      </c>
      <c r="D11" s="22" t="n">
        <f aca="false">3_权重!$AA11*(1-2_标准化!F11)/D$19</f>
        <v>0.0491544014328867</v>
      </c>
      <c r="E11" s="22" t="n">
        <f aca="false">3_权重!$AA11*(1-2_标准化!G11)/E$19</f>
        <v>0.0486254326475243</v>
      </c>
      <c r="F11" s="22" t="n">
        <f aca="false">3_权重!$AA11*(1-2_标准化!H11)/F$19</f>
        <v>0.0469286698025996</v>
      </c>
      <c r="G11" s="22" t="n">
        <f aca="false">3_权重!$AA11*(1-2_标准化!I11)/G$19</f>
        <v>0.06085999321098</v>
      </c>
      <c r="H11" s="22" t="n">
        <f aca="false">3_权重!$AA11*(1-2_标准化!J11)/H$19</f>
        <v>0.0567351963793947</v>
      </c>
      <c r="I11" s="22" t="n">
        <f aca="false">3_权重!$AA11*(1-2_标准化!K11)/I$19</f>
        <v>0.0811492186989555</v>
      </c>
      <c r="J11" s="22" t="n">
        <f aca="false">3_权重!$AA11*(1-2_标准化!L11)/J$19</f>
        <v>0.0562109427688417</v>
      </c>
      <c r="K11" s="22" t="n">
        <f aca="false">3_权重!$AA11*(1-2_标准化!M11)/K$19</f>
        <v>0.0314932937052819</v>
      </c>
      <c r="L11" s="22" t="n">
        <f aca="false">3_权重!$AA11*(1-2_标准化!N11)/L$19</f>
        <v>0</v>
      </c>
      <c r="M11" s="22" t="n">
        <f aca="false">AVERAGE(C11:L11)</f>
        <v>0.0475035651213404</v>
      </c>
      <c r="N11" s="16" t="n">
        <f aca="false">RANK(M11,$M$2:$M$16)</f>
        <v>10</v>
      </c>
    </row>
    <row r="12" customFormat="false" ht="15" hidden="false" customHeight="false" outlineLevel="0" collapsed="false">
      <c r="A12" s="13" t="str">
        <f aca="false">2_标准化!B12</f>
        <v>清洁能源发电量</v>
      </c>
      <c r="B12" s="12" t="str">
        <f aca="false">2_标准化!A12</f>
        <v>发展 D</v>
      </c>
      <c r="C12" s="22" t="n">
        <f aca="false">3_权重!$AA12*(1-2_标准化!E12)/C$19</f>
        <v>0.0553006763461857</v>
      </c>
      <c r="D12" s="22" t="n">
        <f aca="false">3_权重!$AA12*(1-2_标准化!F12)/D$19</f>
        <v>0.0645716690040823</v>
      </c>
      <c r="E12" s="22" t="n">
        <f aca="false">3_权重!$AA12*(1-2_标准化!G12)/E$19</f>
        <v>0.0699858850768176</v>
      </c>
      <c r="F12" s="22" t="n">
        <f aca="false">3_权重!$AA12*(1-2_标准化!H12)/F$19</f>
        <v>0.0791386592430069</v>
      </c>
      <c r="G12" s="22" t="n">
        <f aca="false">3_权重!$AA12*(1-2_标准化!I12)/G$19</f>
        <v>0.0873129164120572</v>
      </c>
      <c r="H12" s="22" t="n">
        <f aca="false">3_权重!$AA12*(1-2_标准化!J12)/H$19</f>
        <v>0.0851741751849497</v>
      </c>
      <c r="I12" s="22" t="n">
        <f aca="false">3_权重!$AA12*(1-2_标准化!K12)/I$19</f>
        <v>0.0549468397590655</v>
      </c>
      <c r="J12" s="22" t="n">
        <f aca="false">3_权重!$AA12*(1-2_标准化!L12)/J$19</f>
        <v>0.056096007192879</v>
      </c>
      <c r="K12" s="22" t="n">
        <f aca="false">3_权重!$AA12*(1-2_标准化!M12)/K$19</f>
        <v>0.054405380239128</v>
      </c>
      <c r="L12" s="22" t="n">
        <f aca="false">3_权重!$AA12*(1-2_标准化!N12)/L$19</f>
        <v>0</v>
      </c>
      <c r="M12" s="22" t="n">
        <f aca="false">AVERAGE(C12:L12)</f>
        <v>0.0606932208458172</v>
      </c>
      <c r="N12" s="16" t="n">
        <f aca="false">RANK(M12,$M$2:$M$16)</f>
        <v>9</v>
      </c>
    </row>
    <row r="13" customFormat="false" ht="15" hidden="false" customHeight="false" outlineLevel="0" collapsed="false">
      <c r="A13" s="13" t="str">
        <f aca="false">2_标准化!B13</f>
        <v>单位GDP能耗指数</v>
      </c>
      <c r="B13" s="12" t="str">
        <f aca="false">2_标准化!A13</f>
        <v>生态 E</v>
      </c>
      <c r="C13" s="22" t="n">
        <f aca="false">3_权重!$AA13*(1-2_标准化!E13)/C$19</f>
        <v>0.087783712866922</v>
      </c>
      <c r="D13" s="22" t="n">
        <f aca="false">3_权重!$AA13*(1-2_标准化!F13)/D$19</f>
        <v>0.0883463018516242</v>
      </c>
      <c r="E13" s="22" t="n">
        <f aca="false">3_权重!$AA13*(1-2_标准化!G13)/E$19</f>
        <v>0.0906270725585051</v>
      </c>
      <c r="F13" s="22" t="n">
        <f aca="false">3_权重!$AA13*(1-2_标准化!H13)/F$19</f>
        <v>0.089735473876235</v>
      </c>
      <c r="G13" s="22" t="n">
        <f aca="false">3_权重!$AA13*(1-2_标准化!I13)/G$19</f>
        <v>0.0904822933589248</v>
      </c>
      <c r="H13" s="22" t="n">
        <f aca="false">3_权重!$AA13*(1-2_标准化!J13)/H$19</f>
        <v>0.08209383430738</v>
      </c>
      <c r="I13" s="22" t="n">
        <f aca="false">3_权重!$AA13*(1-2_标准化!K13)/I$19</f>
        <v>0.060541292690747</v>
      </c>
      <c r="J13" s="22" t="n">
        <f aca="false">3_权重!$AA13*(1-2_标准化!L13)/J$19</f>
        <v>0.074420670640888</v>
      </c>
      <c r="K13" s="22" t="n">
        <f aca="false">3_权重!$AA13*(1-2_标准化!M13)/K$19</f>
        <v>0.0481837491887602</v>
      </c>
      <c r="L13" s="22" t="n">
        <f aca="false">3_权重!$AA13*(1-2_标准化!N13)/L$19</f>
        <v>0</v>
      </c>
      <c r="M13" s="22" t="n">
        <f aca="false">AVERAGE(C13:L13)</f>
        <v>0.0712214401339986</v>
      </c>
      <c r="N13" s="16" t="n">
        <f aca="false">RANK(M13,$M$2:$M$16)</f>
        <v>7</v>
      </c>
    </row>
    <row r="14" customFormat="false" ht="15" hidden="false" customHeight="false" outlineLevel="0" collapsed="false">
      <c r="A14" s="13" t="str">
        <f aca="false">2_标准化!B14</f>
        <v>森林覆盖率</v>
      </c>
      <c r="B14" s="12" t="str">
        <f aca="false">2_标准化!A14</f>
        <v>生态 E</v>
      </c>
      <c r="C14" s="22" t="n">
        <f aca="false">3_权重!$AA14*(1-2_标准化!E14)/C$19</f>
        <v>0.0828614031903145</v>
      </c>
      <c r="D14" s="22" t="n">
        <f aca="false">3_权重!$AA14*(1-2_标准化!F14)/D$19</f>
        <v>0.0699107486346007</v>
      </c>
      <c r="E14" s="22" t="n">
        <f aca="false">3_权重!$AA14*(1-2_标准化!G14)/E$19</f>
        <v>0.0842291316616386</v>
      </c>
      <c r="F14" s="22" t="n">
        <f aca="false">3_权重!$AA14*(1-2_标准化!H14)/F$19</f>
        <v>0.0983758638054243</v>
      </c>
      <c r="G14" s="22" t="n">
        <f aca="false">3_权重!$AA14*(1-2_标准化!I14)/G$19</f>
        <v>0.062932638228507</v>
      </c>
      <c r="H14" s="22" t="n">
        <f aca="false">3_权重!$AA14*(1-2_标准化!J14)/H$19</f>
        <v>0.0716956528204069</v>
      </c>
      <c r="I14" s="22" t="n">
        <f aca="false">3_权重!$AA14*(1-2_标准化!K14)/I$19</f>
        <v>0.0735592934152889</v>
      </c>
      <c r="J14" s="22" t="n">
        <f aca="false">3_权重!$AA14*(1-2_标准化!L14)/J$19</f>
        <v>0.133264703952173</v>
      </c>
      <c r="K14" s="22" t="n">
        <f aca="false">3_权重!$AA14*(1-2_标准化!M14)/K$19</f>
        <v>0.169825649701553</v>
      </c>
      <c r="L14" s="22" t="n">
        <f aca="false">3_权重!$AA14*(1-2_标准化!N14)/L$19</f>
        <v>0</v>
      </c>
      <c r="M14" s="22" t="n">
        <f aca="false">AVERAGE(C14:L14)</f>
        <v>0.0846655085409908</v>
      </c>
      <c r="N14" s="16" t="n">
        <f aca="false">RANK(M14,$M$2:$M$16)</f>
        <v>3</v>
      </c>
    </row>
    <row r="15" customFormat="false" ht="15" hidden="false" customHeight="false" outlineLevel="0" collapsed="false">
      <c r="A15" s="13" t="str">
        <f aca="false">2_标准化!B15</f>
        <v>空气质量优良天数比例</v>
      </c>
      <c r="B15" s="12" t="str">
        <f aca="false">2_标准化!A15</f>
        <v>生态 E</v>
      </c>
      <c r="C15" s="22" t="n">
        <f aca="false">3_权重!$AA15*(1-2_标准化!E15)/C$19</f>
        <v>0.127655585606508</v>
      </c>
      <c r="D15" s="22" t="n">
        <f aca="false">3_权重!$AA15*(1-2_标准化!F15)/D$19</f>
        <v>0.123859502682304</v>
      </c>
      <c r="E15" s="22" t="n">
        <f aca="false">3_权重!$AA15*(1-2_标准化!G15)/E$19</f>
        <v>0.0454169438326357</v>
      </c>
      <c r="F15" s="22" t="n">
        <f aca="false">3_权重!$AA15*(1-2_标准化!H15)/F$19</f>
        <v>0</v>
      </c>
      <c r="G15" s="22" t="n">
        <f aca="false">3_权重!$AA15*(1-2_标准化!I15)/G$19</f>
        <v>0.01686147769966</v>
      </c>
      <c r="H15" s="22" t="n">
        <f aca="false">3_权重!$AA15*(1-2_标准化!J15)/H$19</f>
        <v>0.0384186865582983</v>
      </c>
      <c r="I15" s="22" t="n">
        <f aca="false">3_权重!$AA15*(1-2_标准化!K15)/I$19</f>
        <v>0.0591259998200519</v>
      </c>
      <c r="J15" s="22" t="n">
        <f aca="false">3_权重!$AA15*(1-2_标准化!L15)/J$19</f>
        <v>0.0357054764760124</v>
      </c>
      <c r="K15" s="22" t="n">
        <f aca="false">3_权重!$AA15*(1-2_标准化!M15)/K$19</f>
        <v>0.022750606727114</v>
      </c>
      <c r="L15" s="22" t="n">
        <f aca="false">3_权重!$AA15*(1-2_标准化!N15)/L$19</f>
        <v>0</v>
      </c>
      <c r="M15" s="22" t="n">
        <f aca="false">AVERAGE(C15:L15)</f>
        <v>0.0469794279402585</v>
      </c>
      <c r="N15" s="16" t="n">
        <f aca="false">RANK(M15,$M$2:$M$16)</f>
        <v>11</v>
      </c>
    </row>
    <row r="16" customFormat="false" ht="15" hidden="false" customHeight="false" outlineLevel="0" collapsed="false">
      <c r="A16" s="13" t="str">
        <f aca="false">2_标准化!B16</f>
        <v>草原综合植被盖度</v>
      </c>
      <c r="B16" s="12" t="str">
        <f aca="false">2_标准化!A16</f>
        <v>生态 E</v>
      </c>
      <c r="C16" s="22" t="n">
        <f aca="false">3_权重!$AA16*(1-2_标准化!E16)/C$19</f>
        <v>0.0747379648734468</v>
      </c>
      <c r="D16" s="22" t="n">
        <f aca="false">3_权重!$AA16*(1-2_标准化!F16)/D$19</f>
        <v>0.0592101449999645</v>
      </c>
      <c r="E16" s="22" t="n">
        <f aca="false">3_权重!$AA16*(1-2_标准化!G16)/E$19</f>
        <v>0.0400003014400503</v>
      </c>
      <c r="F16" s="22" t="n">
        <f aca="false">3_权重!$AA16*(1-2_标准化!H16)/F$19</f>
        <v>0.0294951312300255</v>
      </c>
      <c r="G16" s="22" t="n">
        <f aca="false">3_权重!$AA16*(1-2_标准化!I16)/G$19</f>
        <v>0.0280243250908797</v>
      </c>
      <c r="H16" s="22" t="n">
        <f aca="false">3_权重!$AA16*(1-2_标准化!J16)/H$19</f>
        <v>0.0253775174017511</v>
      </c>
      <c r="I16" s="22" t="n">
        <f aca="false">3_权重!$AA16*(1-2_标准化!K16)/I$19</f>
        <v>0.0159582684584792</v>
      </c>
      <c r="J16" s="22" t="n">
        <f aca="false">3_权重!$AA16*(1-2_标准化!L16)/J$19</f>
        <v>0.0147091134922501</v>
      </c>
      <c r="K16" s="22" t="n">
        <f aca="false">3_权重!$AA16*(1-2_标准化!M16)/K$19</f>
        <v>0.00323181618247497</v>
      </c>
      <c r="L16" s="22" t="n">
        <f aca="false">3_权重!$AA16*(1-2_标准化!N16)/L$19</f>
        <v>0</v>
      </c>
      <c r="M16" s="22" t="n">
        <f aca="false">AVERAGE(C16:L16)</f>
        <v>0.0290744583169322</v>
      </c>
      <c r="N16" s="16" t="n">
        <f aca="false">RANK(M16,$M$2:$M$16)</f>
        <v>12</v>
      </c>
    </row>
    <row r="19" customFormat="false" ht="15" hidden="false" customHeight="false" outlineLevel="0" collapsed="false">
      <c r="A19" s="24" t="s">
        <v>117</v>
      </c>
      <c r="C19" s="24" t="n">
        <f aca="false">SUMPRODUCT(3_权重!$AA$2:$AA$16,(1-2_标准化!E$2:E$16))</f>
        <v>2.65388038508147</v>
      </c>
      <c r="D19" s="24" t="n">
        <f aca="false">SUMPRODUCT(3_权重!$AA$2:$AA$16,(1-2_标准化!F$2:F$16))</f>
        <v>2.2467856404872</v>
      </c>
      <c r="E19" s="24" t="n">
        <f aca="false">SUMPRODUCT(3_权重!$AA$2:$AA$16,(1-2_标准化!G$2:G$16))</f>
        <v>1.86484726898199</v>
      </c>
      <c r="F19" s="24" t="n">
        <f aca="false">SUMPRODUCT(3_权重!$AA$2:$AA$16,(1-2_标准化!H$2:H$16))</f>
        <v>1.59667686840957</v>
      </c>
      <c r="G19" s="24" t="n">
        <f aca="false">SUMPRODUCT(3_权重!$AA$2:$AA$16,(1-2_标准化!I$2:I$16))</f>
        <v>1.43515067185199</v>
      </c>
      <c r="H19" s="24" t="n">
        <f aca="false">SUMPRODUCT(3_权重!$AA$2:$AA$16,(1-2_标准化!J$2:J$16))</f>
        <v>1.25973911223461</v>
      </c>
      <c r="I19" s="24" t="n">
        <f aca="false">SUMPRODUCT(3_权重!$AA$2:$AA$16,(1-2_标准化!K$2:K$16))</f>
        <v>1.2278233495958</v>
      </c>
      <c r="J19" s="24" t="n">
        <f aca="false">SUMPRODUCT(3_权重!$AA$2:$AA$16,(1-2_标准化!L$2:L$16))</f>
        <v>0.677732477967115</v>
      </c>
      <c r="K19" s="24" t="n">
        <f aca="false">SUMPRODUCT(3_权重!$AA$2:$AA$16,(1-2_标准化!M$2:M$16))</f>
        <v>0.531826718718769</v>
      </c>
      <c r="L19" s="24" t="n">
        <f aca="false">SUMPRODUCT(3_权重!$AA$2:$AA$16,(1-2_标准化!N$2:N$16))</f>
        <v>0.333599481761511</v>
      </c>
    </row>
    <row r="21" customFormat="false" ht="15" hidden="false" customHeight="false" outlineLevel="0" collapsed="false">
      <c r="A21" s="25" t="s">
        <v>118</v>
      </c>
    </row>
    <row r="22" customFormat="false" ht="15" hidden="false" customHeight="false" outlineLevel="0" collapsed="false">
      <c r="A22" s="24" t="s">
        <v>27</v>
      </c>
      <c r="C22" s="22" t="n">
        <f aca="false">SUM(C2:C5)</f>
        <v>0.373038666537192</v>
      </c>
      <c r="D22" s="22" t="n">
        <f aca="false">SUM(D2:D5)</f>
        <v>0.358190341672986</v>
      </c>
      <c r="E22" s="22" t="n">
        <f aca="false">SUM(E2:E5)</f>
        <v>0.336915321344236</v>
      </c>
      <c r="F22" s="22" t="n">
        <f aca="false">SUM(F2:F5)</f>
        <v>0.370574988128731</v>
      </c>
      <c r="G22" s="22" t="n">
        <f aca="false">SUM(G2:G5)</f>
        <v>0.355249679467778</v>
      </c>
      <c r="H22" s="22" t="n">
        <f aca="false">SUM(H2:H5)</f>
        <v>0.35320473884037</v>
      </c>
      <c r="I22" s="22" t="n">
        <f aca="false">SUM(I2:I5)</f>
        <v>0.368537849394343</v>
      </c>
      <c r="J22" s="22" t="n">
        <f aca="false">SUM(J2:J5)</f>
        <v>0.373080885894148</v>
      </c>
      <c r="K22" s="22" t="n">
        <f aca="false">SUM(K2:K5)</f>
        <v>0.232362827512798</v>
      </c>
      <c r="L22" s="22" t="n">
        <f aca="false">SUM(L2:L5)</f>
        <v>0</v>
      </c>
    </row>
    <row r="23" customFormat="false" ht="15" hidden="false" customHeight="false" outlineLevel="0" collapsed="false">
      <c r="A23" s="24" t="s">
        <v>38</v>
      </c>
      <c r="C23" s="22" t="n">
        <f aca="false">SUM(C6:C12)</f>
        <v>0.253922666925617</v>
      </c>
      <c r="D23" s="22" t="n">
        <f aca="false">SUM(D6:D12)</f>
        <v>0.300482960158521</v>
      </c>
      <c r="E23" s="22" t="n">
        <f aca="false">SUM(E6:E12)</f>
        <v>0.402811229162934</v>
      </c>
      <c r="F23" s="22" t="n">
        <f aca="false">SUM(F6:F12)</f>
        <v>0.411818542959584</v>
      </c>
      <c r="G23" s="22" t="n">
        <f aca="false">SUM(G6:G12)</f>
        <v>0.446449586154251</v>
      </c>
      <c r="H23" s="22" t="n">
        <f aca="false">SUM(H6:H12)</f>
        <v>0.429209570071794</v>
      </c>
      <c r="I23" s="22" t="n">
        <f aca="false">SUM(I6:I12)</f>
        <v>0.42227729622109</v>
      </c>
      <c r="J23" s="22" t="n">
        <f aca="false">SUM(J6:J12)</f>
        <v>0.368819149544529</v>
      </c>
      <c r="K23" s="22" t="n">
        <f aca="false">SUM(K6:K12)</f>
        <v>0.523645350687299</v>
      </c>
      <c r="L23" s="22" t="n">
        <f aca="false">SUM(L6:L12)</f>
        <v>1</v>
      </c>
    </row>
    <row r="24" customFormat="false" ht="15" hidden="false" customHeight="false" outlineLevel="0" collapsed="false">
      <c r="A24" s="24" t="s">
        <v>49</v>
      </c>
      <c r="C24" s="22" t="n">
        <f aca="false">SUM(C13:C16)</f>
        <v>0.373038666537192</v>
      </c>
      <c r="D24" s="22" t="n">
        <f aca="false">SUM(D13:D16)</f>
        <v>0.341326698168494</v>
      </c>
      <c r="E24" s="22" t="n">
        <f aca="false">SUM(E13:E16)</f>
        <v>0.26027344949283</v>
      </c>
      <c r="F24" s="22" t="n">
        <f aca="false">SUM(F13:F16)</f>
        <v>0.217606468911685</v>
      </c>
      <c r="G24" s="22" t="n">
        <f aca="false">SUM(G13:G16)</f>
        <v>0.198300734377971</v>
      </c>
      <c r="H24" s="22" t="n">
        <f aca="false">SUM(H13:H16)</f>
        <v>0.217585691087836</v>
      </c>
      <c r="I24" s="22" t="n">
        <f aca="false">SUM(I13:I16)</f>
        <v>0.209184854384567</v>
      </c>
      <c r="J24" s="22" t="n">
        <f aca="false">SUM(J13:J16)</f>
        <v>0.258099964561324</v>
      </c>
      <c r="K24" s="22" t="n">
        <f aca="false">SUM(K13:K16)</f>
        <v>0.243991821799903</v>
      </c>
      <c r="L24" s="22" t="n">
        <f aca="false">SUM(L13:L16)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1"/>
  </cols>
  <sheetData>
    <row r="1" customFormat="false" ht="15" hidden="false" customHeight="false" outlineLevel="0" collapsed="false">
      <c r="A1" s="24" t="s">
        <v>119</v>
      </c>
      <c r="B1" s="26" t="n">
        <v>0.001</v>
      </c>
    </row>
    <row r="2" customFormat="false" ht="15" hidden="false" customHeight="false" outlineLevel="0" collapsed="false">
      <c r="A2" s="6" t="s">
        <v>82</v>
      </c>
      <c r="B2" s="7" t="s">
        <v>92</v>
      </c>
      <c r="C2" s="7" t="s">
        <v>93</v>
      </c>
      <c r="D2" s="7" t="s">
        <v>94</v>
      </c>
      <c r="E2" s="6" t="s">
        <v>120</v>
      </c>
      <c r="F2" s="7" t="s">
        <v>121</v>
      </c>
      <c r="G2" s="7" t="s">
        <v>122</v>
      </c>
      <c r="H2" s="7" t="s">
        <v>123</v>
      </c>
      <c r="I2" s="6" t="s">
        <v>124</v>
      </c>
      <c r="J2" s="6" t="s">
        <v>125</v>
      </c>
      <c r="K2" s="6" t="s">
        <v>126</v>
      </c>
    </row>
    <row r="3" customFormat="false" ht="15" hidden="false" customHeight="false" outlineLevel="0" collapsed="false">
      <c r="A3" s="16" t="s">
        <v>17</v>
      </c>
      <c r="B3" s="19" t="n">
        <f aca="false">5_耦合协调度!B2</f>
        <v>0.01</v>
      </c>
      <c r="C3" s="19" t="n">
        <f aca="false">5_耦合协调度!C2</f>
        <v>0.326119614918531</v>
      </c>
      <c r="D3" s="19" t="n">
        <f aca="false">5_耦合协调度!D2</f>
        <v>0.01</v>
      </c>
      <c r="E3" s="19" t="n">
        <f aca="false">5_耦合协调度!I2</f>
        <v>0</v>
      </c>
      <c r="F3" s="21" t="n">
        <f aca="false">SQRT(MAX(0,3*((B3*(1+$B$1)*C3*D3)/(B3*(1+$B$1)+C3+D3)^3)^(1/3)*(1-SQRT(((B3*(1+$B$1)-(B3*(1+$B$1)+C3+D3)/3)^2+(C3-(B3*(1+$B$1)+C3+D3)/3)^2+(D3-(B3*(1+$B$1)+C3+D3)/3)^2)/3)/((B3*(1+$B$1)+C3+D3)/3))*((B3*(1+$B$1)+C3+D3)/3)))</f>
        <v>0</v>
      </c>
      <c r="G3" s="21" t="n">
        <f aca="false">SQRT(MAX(0,3*((B3*C3*(1+$B$1)*D3)/(B3+C3*(1+$B$1)+D3)^3)^(1/3)*(1-SQRT(((B3-(B3+C3*(1+$B$1)+D3)/3)^2+(C3*(1+$B$1)-(B3+C3*(1+$B$1)+D3)/3)^2+(D3-(B3+C3*(1+$B$1)+D3)/3)^2)/3)/((B3+C3*(1+$B$1)+D3)/3))*((B3+C3*(1+$B$1)+D3)/3)))</f>
        <v>0</v>
      </c>
      <c r="H3" s="21" t="n">
        <f aca="false">SQRT(MAX(0,3*((B3*C3*D3*(1+$B$1))/(B3+C3+D3*(1+$B$1))^3)^(1/3)*(1-SQRT(((B3-(B3+C3+D3*(1+$B$1))/3)^2+(C3-(B3+C3+D3*(1+$B$1))/3)^2+(D3*(1+$B$1)-(B3+C3+D3*(1+$B$1))/3)^2)/3)/((B3+C3+D3*(1+$B$1))/3))*((B3+C3+D3*(1+$B$1))/3)))</f>
        <v>0</v>
      </c>
      <c r="I3" s="21" t="str">
        <f aca="false">IF(E3=0,"—",(F3-E3)/E3/$B$1)</f>
        <v>—</v>
      </c>
      <c r="J3" s="21" t="str">
        <f aca="false">IF(E3=0,"—",(G3-E3)/E3/$B$1)</f>
        <v>—</v>
      </c>
      <c r="K3" s="21" t="str">
        <f aca="false">IF(E3=0,"—",(H3-E3)/E3/$B$1)</f>
        <v>—</v>
      </c>
    </row>
    <row r="4" customFormat="false" ht="15" hidden="false" customHeight="false" outlineLevel="0" collapsed="false">
      <c r="A4" s="16" t="s">
        <v>18</v>
      </c>
      <c r="B4" s="19" t="n">
        <f aca="false">5_耦合协调度!B3</f>
        <v>0.195223083767932</v>
      </c>
      <c r="C4" s="19" t="n">
        <f aca="false">5_耦合协调度!C3</f>
        <v>0.324879199904749</v>
      </c>
      <c r="D4" s="19" t="n">
        <f aca="false">5_耦合协调度!D3</f>
        <v>0.233112075840121</v>
      </c>
      <c r="E4" s="19" t="n">
        <f aca="false">5_耦合协调度!I3</f>
        <v>0.438433927807118</v>
      </c>
      <c r="F4" s="21" t="n">
        <f aca="false">SQRT(MAX(0,3*((B4*(1+$B$1)*C4*D4)/(B4*(1+$B$1)+C4+D4)^3)^(1/3)*(1-SQRT(((B4*(1+$B$1)-(B4*(1+$B$1)+C4+D4)/3)^2+(C4-(B4*(1+$B$1)+C4+D4)/3)^2+(D4-(B4*(1+$B$1)+C4+D4)/3)^2)/3)/((B4*(1+$B$1)+C4+D4)/3))*((B4*(1+$B$1)+C4+D4)/3)))</f>
        <v>0.438597071353118</v>
      </c>
      <c r="G4" s="21" t="n">
        <f aca="false">SQRT(MAX(0,3*((B4*C4*(1+$B$1)*D4)/(B4+C4*(1+$B$1)+D4)^3)^(1/3)*(1-SQRT(((B4-(B4+C4*(1+$B$1)+D4)/3)^2+(C4*(1+$B$1)-(B4+C4*(1+$B$1)+D4)/3)^2+(D4-(B4+C4*(1+$B$1)+D4)/3)^2)/3)/((B4+C4*(1+$B$1)+D4)/3))*((B4+C4*(1+$B$1)+D4)/3)))</f>
        <v>0.438369442890307</v>
      </c>
      <c r="H4" s="21" t="n">
        <f aca="false">SQRT(MAX(0,3*((B4*C4*D4*(1+$B$1))/(B4+C4+D4*(1+$B$1))^3)^(1/3)*(1-SQRT(((B4-(B4+C4+D4*(1+$B$1))/3)^2+(C4-(B4+C4+D4*(1+$B$1))/3)^2+(D4*(1+$B$1)-(B4+C4+D4*(1+$B$1))/3)^2)/3)/((B4+C4+D4*(1+$B$1))/3))*((B4+C4+D4*(1+$B$1))/3)))</f>
        <v>0.43855420533784</v>
      </c>
      <c r="I4" s="21" t="n">
        <f aca="false">IF(E4=0,"—",(F4-E4)/E4/$B$1)</f>
        <v>0.372105203662385</v>
      </c>
      <c r="J4" s="21" t="n">
        <f aca="false">IF(E4=0,"—",(G4-E4)/E4/$B$1)</f>
        <v>-0.147080124782792</v>
      </c>
      <c r="K4" s="21" t="n">
        <f aca="false">IF(E4=0,"—",(H4-E4)/E4/$B$1)</f>
        <v>0.274334450628744</v>
      </c>
    </row>
    <row r="5" customFormat="false" ht="15" hidden="false" customHeight="false" outlineLevel="0" collapsed="false">
      <c r="A5" s="16" t="s">
        <v>19</v>
      </c>
      <c r="B5" s="19" t="n">
        <f aca="false">5_耦合协调度!B4</f>
        <v>0.371704383113012</v>
      </c>
      <c r="C5" s="19" t="n">
        <f aca="false">5_耦合协调度!C4</f>
        <v>0.248818579380225</v>
      </c>
      <c r="D5" s="19" t="n">
        <f aca="false">5_耦合协调度!D4</f>
        <v>0.514629768524775</v>
      </c>
      <c r="E5" s="19" t="n">
        <f aca="false">5_耦合协调度!I4</f>
        <v>0.508301980600054</v>
      </c>
      <c r="F5" s="21" t="n">
        <f aca="false">SQRT(MAX(0,3*((B5*(1+$B$1)*C5*D5)/(B5*(1+$B$1)+C5+D5)^3)^(1/3)*(1-SQRT(((B5*(1+$B$1)-(B5*(1+$B$1)+C5+D5)/3)^2+(C5-(B5*(1+$B$1)+C5+D5)/3)^2+(D5-(B5*(1+$B$1)+C5+D5)/3)^2)/3)/((B5*(1+$B$1)+C5+D5)/3))*((B5*(1+$B$1)+C5+D5)/3)))</f>
        <v>0.508427208718849</v>
      </c>
      <c r="G5" s="21" t="n">
        <f aca="false">SQRT(MAX(0,3*((B5*C5*(1+$B$1)*D5)/(B5+C5*(1+$B$1)+D5)^3)^(1/3)*(1-SQRT(((B5-(B5+C5*(1+$B$1)+D5)/3)^2+(C5*(1+$B$1)-(B5+C5*(1+$B$1)+D5)/3)^2+(D5-(B5+C5*(1+$B$1)+D5)/3)^2)/3)/((B5+C5*(1+$B$1)+D5)/3))*((B5+C5*(1+$B$1)+D5)/3)))</f>
        <v>0.508502263899843</v>
      </c>
      <c r="H5" s="21" t="n">
        <f aca="false">SQRT(MAX(0,3*((B5*C5*D5*(1+$B$1))/(B5+C5+D5*(1+$B$1))^3)^(1/3)*(1-SQRT(((B5-(B5+C5+D5*(1+$B$1))/3)^2+(C5-(B5+C5+D5*(1+$B$1))/3)^2+(D5*(1+$B$1)-(B5+C5+D5*(1+$B$1))/3)^2)/3)/((B5+C5+D5*(1+$B$1))/3))*((B5+C5+D5*(1+$B$1))/3)))</f>
        <v>0.508230303273369</v>
      </c>
      <c r="I5" s="21" t="n">
        <f aca="false">IF(E5=0,"—",(F5-E5)/E5/$B$1)</f>
        <v>0.246365592846023</v>
      </c>
      <c r="J5" s="21" t="n">
        <f aca="false">IF(E5=0,"—",(G5-E5)/E5/$B$1)</f>
        <v>0.394024236444059</v>
      </c>
      <c r="K5" s="21" t="n">
        <f aca="false">IF(E5=0,"—",(H5-E5)/E5/$B$1)</f>
        <v>-0.141013274431974</v>
      </c>
    </row>
    <row r="6" customFormat="false" ht="15" hidden="false" customHeight="false" outlineLevel="0" collapsed="false">
      <c r="A6" s="16" t="s">
        <v>20</v>
      </c>
      <c r="B6" s="19" t="n">
        <f aca="false">5_耦合协调度!B5</f>
        <v>0.408311488443706</v>
      </c>
      <c r="C6" s="19" t="n">
        <f aca="false">5_耦合协调度!C5</f>
        <v>0.3424588584743</v>
      </c>
      <c r="D6" s="19" t="n">
        <f aca="false">5_耦合协调度!D5</f>
        <v>0.652552784672427</v>
      </c>
      <c r="E6" s="19" t="n">
        <f aca="false">5_耦合协调度!I5</f>
        <v>0.567288496612218</v>
      </c>
      <c r="F6" s="21" t="n">
        <f aca="false">SQRT(MAX(0,3*((B6*(1+$B$1)*C6*D6)/(B6*(1+$B$1)+C6+D6)^3)^(1/3)*(1-SQRT(((B6*(1+$B$1)-(B6*(1+$B$1)+C6+D6)/3)^2+(C6-(B6*(1+$B$1)+C6+D6)/3)^2+(D6-(B6*(1+$B$1)+C6+D6)/3)^2)/3)/((B6*(1+$B$1)+C6+D6)/3))*((B6*(1+$B$1)+C6+D6)/3)))</f>
        <v>0.567467271041973</v>
      </c>
      <c r="G6" s="21" t="n">
        <f aca="false">SQRT(MAX(0,3*((B6*C6*(1+$B$1)*D6)/(B6+C6*(1+$B$1)+D6)^3)^(1/3)*(1-SQRT(((B6-(B6+C6*(1+$B$1)+D6)/3)^2+(C6*(1+$B$1)-(B6+C6*(1+$B$1)+D6)/3)^2+(D6-(B6+C6*(1+$B$1)+D6)/3)^2)/3)/((B6+C6*(1+$B$1)+D6)/3))*((B6+C6*(1+$B$1)+D6)/3)))</f>
        <v>0.567501518759378</v>
      </c>
      <c r="H6" s="21" t="n">
        <f aca="false">SQRT(MAX(0,3*((B6*C6*D6*(1+$B$1))/(B6+C6+D6*(1+$B$1))^3)^(1/3)*(1-SQRT(((B6-(B6+C6+D6*(1+$B$1))/3)^2+(C6-(B6+C6+D6*(1+$B$1))/3)^2+(D6*(1+$B$1)-(B6+C6+D6*(1+$B$1))/3)^2)/3)/((B6+C6+D6*(1+$B$1))/3))*((B6+C6+D6*(1+$B$1))/3)))</f>
        <v>0.567180047452229</v>
      </c>
      <c r="I6" s="21" t="n">
        <f aca="false">IF(E6=0,"—",(F6-E6)/E6/$B$1)</f>
        <v>0.315138471558143</v>
      </c>
      <c r="J6" s="21" t="n">
        <f aca="false">IF(E6=0,"—",(G6-E6)/E6/$B$1)</f>
        <v>0.375509372096564</v>
      </c>
      <c r="K6" s="21" t="n">
        <f aca="false">IF(E6=0,"—",(H6-E6)/E6/$B$1)</f>
        <v>-0.191171089553906</v>
      </c>
    </row>
    <row r="7" customFormat="false" ht="15" hidden="false" customHeight="false" outlineLevel="0" collapsed="false">
      <c r="A7" s="16" t="s">
        <v>21</v>
      </c>
      <c r="B7" s="19" t="n">
        <f aca="false">5_耦合协调度!B6</f>
        <v>0.490163183836614</v>
      </c>
      <c r="C7" s="19" t="n">
        <f aca="false">5_耦合协调度!C6</f>
        <v>0.359277576482683</v>
      </c>
      <c r="D7" s="19" t="n">
        <f aca="false">5_耦合协调度!D6</f>
        <v>0.715408567828711</v>
      </c>
      <c r="E7" s="19" t="n">
        <f aca="false">5_耦合协调度!I6</f>
        <v>0.599963580114398</v>
      </c>
      <c r="F7" s="21" t="n">
        <f aca="false">SQRT(MAX(0,3*((B7*(1+$B$1)*C7*D7)/(B7*(1+$B$1)+C7+D7)^3)^(1/3)*(1-SQRT(((B7*(1+$B$1)-(B7*(1+$B$1)+C7+D7)/3)^2+(C7-(B7*(1+$B$1)+C7+D7)/3)^2+(D7-(B7*(1+$B$1)+C7+D7)/3)^2)/3)/((B7*(1+$B$1)+C7+D7)/3))*((B7*(1+$B$1)+C7+D7)/3)))</f>
        <v>0.600128262740221</v>
      </c>
      <c r="G7" s="21" t="n">
        <f aca="false">SQRT(MAX(0,3*((B7*C7*(1+$B$1)*D7)/(B7+C7*(1+$B$1)+D7)^3)^(1/3)*(1-SQRT(((B7-(B7+C7*(1+$B$1)+D7)/3)^2+(C7*(1+$B$1)-(B7+C7*(1+$B$1)+D7)/3)^2+(D7-(B7+C7*(1+$B$1)+D7)/3)^2)/3)/((B7+C7*(1+$B$1)+D7)/3))*((B7+C7*(1+$B$1)+D7)/3)))</f>
        <v>0.6001963964955</v>
      </c>
      <c r="H7" s="21" t="n">
        <f aca="false">SQRT(MAX(0,3*((B7*C7*D7*(1+$B$1))/(B7+C7+D7*(1+$B$1))^3)^(1/3)*(1-SQRT(((B7-(B7+C7+D7*(1+$B$1))/3)^2+(C7-(B7+C7+D7*(1+$B$1))/3)^2+(D7*(1+$B$1)-(B7+C7+D7*(1+$B$1))/3)^2)/3)/((B7+C7+D7*(1+$B$1))/3))*((B7+C7+D7*(1+$B$1))/3)))</f>
        <v>0.599865713352549</v>
      </c>
      <c r="I7" s="21" t="n">
        <f aca="false">IF(E7=0,"—",(F7-E7)/E7/$B$1)</f>
        <v>0.274487704388967</v>
      </c>
      <c r="J7" s="21" t="n">
        <f aca="false">IF(E7=0,"—",(G7-E7)/E7/$B$1)</f>
        <v>0.388050856448476</v>
      </c>
      <c r="K7" s="21" t="n">
        <f aca="false">IF(E7=0,"—",(H7-E7)/E7/$B$1)</f>
        <v>-0.16312117117339</v>
      </c>
    </row>
    <row r="8" customFormat="false" ht="15" hidden="false" customHeight="false" outlineLevel="0" collapsed="false">
      <c r="A8" s="16" t="s">
        <v>22</v>
      </c>
      <c r="B8" s="19" t="n">
        <f aca="false">5_耦合协调度!B7</f>
        <v>0.555054175856175</v>
      </c>
      <c r="C8" s="19" t="n">
        <f aca="false">5_耦合协调度!C7</f>
        <v>0.459307917235159</v>
      </c>
      <c r="D8" s="19" t="n">
        <f aca="false">5_耦合协调度!D7</f>
        <v>0.725898794674055</v>
      </c>
      <c r="E8" s="19" t="n">
        <f aca="false">5_耦合协调度!I7</f>
        <v>0.679369215343093</v>
      </c>
      <c r="F8" s="21" t="n">
        <f aca="false">SQRT(MAX(0,3*((B8*(1+$B$1)*C8*D8)/(B8*(1+$B$1)+C8+D8)^3)^(1/3)*(1-SQRT(((B8*(1+$B$1)-(B8*(1+$B$1)+C8+D8)/3)^2+(C8-(B8*(1+$B$1)+C8+D8)/3)^2+(D8-(B8*(1+$B$1)+C8+D8)/3)^2)/3)/((B8*(1+$B$1)+C8+D8)/3))*((B8*(1+$B$1)+C8+D8)/3)))</f>
        <v>0.679537963123925</v>
      </c>
      <c r="G8" s="21" t="n">
        <f aca="false">SQRT(MAX(0,3*((B8*C8*(1+$B$1)*D8)/(B8+C8*(1+$B$1)+D8)^3)^(1/3)*(1-SQRT(((B8-(B8+C8*(1+$B$1)+D8)/3)^2+(C8*(1+$B$1)-(B8+C8*(1+$B$1)+D8)/3)^2+(D8-(B8+C8*(1+$B$1)+D8)/3)^2)/3)/((B8+C8*(1+$B$1)+D8)/3))*((B8+C8*(1+$B$1)+D8)/3)))</f>
        <v>0.679624596344695</v>
      </c>
      <c r="H8" s="21" t="n">
        <f aca="false">SQRT(MAX(0,3*((B8*C8*D8*(1+$B$1))/(B8+C8+D8*(1+$B$1))^3)^(1/3)*(1-SQRT(((B8-(B8+C8+D8*(1+$B$1))/3)^2+(C8-(B8+C8+D8*(1+$B$1))/3)^2+(D8*(1+$B$1)-(B8+C8+D8*(1+$B$1))/3)^2)/3)/((B8+C8+D8*(1+$B$1))/3))*((B8+C8+D8*(1+$B$1))/3)))</f>
        <v>0.679284282551195</v>
      </c>
      <c r="I8" s="21" t="n">
        <f aca="false">IF(E8=0,"—",(F8-E8)/E8/$B$1)</f>
        <v>0.248388912864287</v>
      </c>
      <c r="J8" s="21" t="n">
        <f aca="false">IF(E8=0,"—",(G8-E8)/E8/$B$1)</f>
        <v>0.375908998869343</v>
      </c>
      <c r="K8" s="21" t="n">
        <f aca="false">IF(E8=0,"—",(H8-E8)/E8/$B$1)</f>
        <v>-0.125017133510995</v>
      </c>
    </row>
    <row r="9" customFormat="false" ht="15" hidden="false" customHeight="false" outlineLevel="0" collapsed="false">
      <c r="A9" s="16" t="s">
        <v>23</v>
      </c>
      <c r="B9" s="19" t="n">
        <f aca="false">5_耦合协调度!B8</f>
        <v>0.547500623303805</v>
      </c>
      <c r="C9" s="19" t="n">
        <f aca="false">5_耦合协调度!C8</f>
        <v>0.481518075695564</v>
      </c>
      <c r="D9" s="19" t="n">
        <f aca="false">5_耦合协调度!D8</f>
        <v>0.743157951404831</v>
      </c>
      <c r="E9" s="19" t="n">
        <f aca="false">5_耦合协调度!I8</f>
        <v>0.686706055031055</v>
      </c>
      <c r="F9" s="21" t="n">
        <f aca="false">SQRT(MAX(0,3*((B9*(1+$B$1)*C9*D9)/(B9*(1+$B$1)+C9+D9)^3)^(1/3)*(1-SQRT(((B9*(1+$B$1)-(B9*(1+$B$1)+C9+D9)/3)^2+(C9-(B9*(1+$B$1)+C9+D9)/3)^2+(D9-(B9*(1+$B$1)+C9+D9)/3)^2)/3)/((B9*(1+$B$1)+C9+D9)/3))*((B9*(1+$B$1)+C9+D9)/3)))</f>
        <v>0.686895646647923</v>
      </c>
      <c r="G9" s="21" t="n">
        <f aca="false">SQRT(MAX(0,3*((B9*C9*(1+$B$1)*D9)/(B9+C9*(1+$B$1)+D9)^3)^(1/3)*(1-SQRT(((B9-(B9+C9*(1+$B$1)+D9)/3)^2+(C9*(1+$B$1)-(B9+C9*(1+$B$1)+D9)/3)^2+(D9-(B9+C9*(1+$B$1)+D9)/3)^2)/3)/((B9+C9*(1+$B$1)+D9)/3))*((B9+C9*(1+$B$1)+D9)/3)))</f>
        <v>0.686954900104197</v>
      </c>
      <c r="H9" s="21" t="n">
        <f aca="false">SQRT(MAX(0,3*((B9*C9*D9*(1+$B$1))/(B9+C9+D9*(1+$B$1))^3)^(1/3)*(1-SQRT(((B9-(B9+C9+D9*(1+$B$1))/3)^2+(C9-(B9+C9+D9*(1+$B$1))/3)^2+(D9*(1+$B$1)-(B9+C9+D9*(1+$B$1))/3)^2)/3)/((B9+C9+D9*(1+$B$1))/3))*((B9+C9+D9*(1+$B$1))/3)))</f>
        <v>0.686610499651973</v>
      </c>
      <c r="I9" s="21" t="n">
        <f aca="false">IF(E9=0,"—",(F9-E9)/E9/$B$1)</f>
        <v>0.276088459506278</v>
      </c>
      <c r="J9" s="21" t="n">
        <f aca="false">IF(E9=0,"—",(G9-E9)/E9/$B$1)</f>
        <v>0.362374951143661</v>
      </c>
      <c r="K9" s="21" t="n">
        <f aca="false">IF(E9=0,"—",(H9-E9)/E9/$B$1)</f>
        <v>-0.139150337152662</v>
      </c>
    </row>
    <row r="10" customFormat="false" ht="15" hidden="false" customHeight="false" outlineLevel="0" collapsed="false">
      <c r="A10" s="16" t="s">
        <v>24</v>
      </c>
      <c r="B10" s="19" t="n">
        <f aca="false">5_耦合协调度!B9</f>
        <v>0.747150966720793</v>
      </c>
      <c r="C10" s="19" t="n">
        <f aca="false">5_耦合协调度!C9</f>
        <v>0.750039283857462</v>
      </c>
      <c r="D10" s="19" t="n">
        <f aca="false">5_耦合协调度!D9</f>
        <v>0.82507727145463</v>
      </c>
      <c r="E10" s="19" t="n">
        <f aca="false">5_耦合协调度!I9</f>
        <v>0.858621684381252</v>
      </c>
      <c r="F10" s="21" t="n">
        <f aca="false">SQRT(MAX(0,3*((B10*(1+$B$1)*C10*D10)/(B10*(1+$B$1)+C10+D10)^3)^(1/3)*(1-SQRT(((B10*(1+$B$1)-(B10*(1+$B$1)+C10+D10)/3)^2+(C10-(B10*(1+$B$1)+C10+D10)/3)^2+(D10-(B10*(1+$B$1)+C10+D10)/3)^2)/3)/((B10*(1+$B$1)+C10+D10)/3))*((B10*(1+$B$1)+C10+D10)/3)))</f>
        <v>0.858878916589152</v>
      </c>
      <c r="G10" s="21" t="n">
        <f aca="false">SQRT(MAX(0,3*((B10*C10*(1+$B$1)*D10)/(B10+C10*(1+$B$1)+D10)^3)^(1/3)*(1-SQRT(((B10-(B10+C10*(1+$B$1)+D10)/3)^2+(C10*(1+$B$1)-(B10+C10*(1+$B$1)+D10)/3)^2+(D10-(B10+C10*(1+$B$1)+D10)/3)^2)/3)/((B10+C10*(1+$B$1)+D10)/3))*((B10+C10*(1+$B$1)+D10)/3)))</f>
        <v>0.858867656746604</v>
      </c>
      <c r="H10" s="21" t="n">
        <f aca="false">SQRT(MAX(0,3*((B10*C10*D10*(1+$B$1))/(B10+C10+D10*(1+$B$1))^3)^(1/3)*(1-SQRT(((B10-(B10+C10+D10*(1+$B$1))/3)^2+(C10-(B10+C10+D10*(1+$B$1))/3)^2+(D10*(1+$B$1)-(B10+C10+D10*(1+$B$1))/3)^2)/3)/((B10+C10+D10*(1+$B$1))/3))*((B10+C10+D10*(1+$B$1))/3)))</f>
        <v>0.858546063799032</v>
      </c>
      <c r="I10" s="21" t="n">
        <f aca="false">IF(E10=0,"—",(F10-E10)/E10/$B$1)</f>
        <v>0.299587364935164</v>
      </c>
      <c r="J10" s="21" t="n">
        <f aca="false">IF(E10=0,"—",(G10-E10)/E10/$B$1)</f>
        <v>0.286473507280565</v>
      </c>
      <c r="K10" s="21" t="n">
        <f aca="false">IF(E10=0,"—",(H10-E10)/E10/$B$1)</f>
        <v>-0.0880720619982668</v>
      </c>
    </row>
    <row r="11" customFormat="false" ht="15" hidden="false" customHeight="false" outlineLevel="0" collapsed="false">
      <c r="A11" s="16" t="s">
        <v>25</v>
      </c>
      <c r="B11" s="19" t="n">
        <f aca="false">5_耦合协调度!B10</f>
        <v>0.876423239891653</v>
      </c>
      <c r="C11" s="19" t="n">
        <f aca="false">5_耦合协调度!C10</f>
        <v>0.721511411371634</v>
      </c>
      <c r="D11" s="19" t="n">
        <f aca="false">5_耦合协调度!D10</f>
        <v>0.870238630017943</v>
      </c>
      <c r="E11" s="19" t="n">
        <f aca="false">5_耦合协调度!I10</f>
        <v>0.864949826440668</v>
      </c>
      <c r="F11" s="21" t="n">
        <f aca="false">SQRT(MAX(0,3*((B11*(1+$B$1)*C11*D11)/(B11*(1+$B$1)+C11+D11)^3)^(1/3)*(1-SQRT(((B11*(1+$B$1)-(B11*(1+$B$1)+C11+D11)/3)^2+(C11-(B11*(1+$B$1)+C11+D11)/3)^2+(D11-(B11*(1+$B$1)+C11+D11)/3)^2)/3)/((B11*(1+$B$1)+C11+D11)/3))*((B11*(1+$B$1)+C11+D11)/3)))</f>
        <v>0.864981957161963</v>
      </c>
      <c r="G11" s="21" t="n">
        <f aca="false">SQRT(MAX(0,3*((B11*C11*(1+$B$1)*D11)/(B11+C11*(1+$B$1)+D11)^3)^(1/3)*(1-SQRT(((B11-(B11+C11*(1+$B$1)+D11)/3)^2+(C11*(1+$B$1)-(B11+C11*(1+$B$1)+D11)/3)^2+(D11-(B11+C11*(1+$B$1)+D11)/3)^2)/3)/((B11+C11*(1+$B$1)+D11)/3))*((B11+C11*(1+$B$1)+D11)/3)))</f>
        <v>0.865301641311998</v>
      </c>
      <c r="H11" s="21" t="n">
        <f aca="false">SQRT(MAX(0,3*((B11*C11*D11*(1+$B$1))/(B11+C11+D11*(1+$B$1))^3)^(1/3)*(1-SQRT(((B11-(B11+C11+D11*(1+$B$1))/3)^2+(C11-(B11+C11+D11*(1+$B$1))/3)^2+(D11*(1+$B$1)-(B11+C11+D11*(1+$B$1))/3)^2)/3)/((B11+C11+D11*(1+$B$1))/3))*((B11+C11+D11*(1+$B$1))/3)))</f>
        <v>0.86499713248309</v>
      </c>
      <c r="I11" s="21" t="n">
        <f aca="false">IF(E11=0,"—",(F11-E11)/E11/$B$1)</f>
        <v>0.0371474972451894</v>
      </c>
      <c r="J11" s="21" t="n">
        <f aca="false">IF(E11=0,"—",(G11-E11)/E11/$B$1)</f>
        <v>0.40674598754195</v>
      </c>
      <c r="K11" s="21" t="n">
        <f aca="false">IF(E11=0,"—",(H11-E11)/E11/$B$1)</f>
        <v>0.054692238759074</v>
      </c>
    </row>
    <row r="12" customFormat="false" ht="15" hidden="false" customHeight="false" outlineLevel="0" collapsed="false">
      <c r="A12" s="16" t="s">
        <v>26</v>
      </c>
      <c r="B12" s="19" t="n">
        <f aca="false">5_耦合协调度!B11</f>
        <v>1</v>
      </c>
      <c r="C12" s="19" t="n">
        <f aca="false">5_耦合协调度!C11</f>
        <v>0.666400518238489</v>
      </c>
      <c r="D12" s="19" t="n">
        <f aca="false">5_耦合协调度!D11</f>
        <v>1</v>
      </c>
      <c r="E12" s="19" t="n">
        <f aca="false">5_耦合协调度!I11</f>
        <v>0.84788995319401</v>
      </c>
      <c r="F12" s="21" t="n">
        <f aca="false">SQRT(MAX(0,3*((B12*(1+$B$1)*C12*D12)/(B12*(1+$B$1)+C12+D12)^3)^(1/3)*(1-SQRT(((B12*(1+$B$1)-(B12*(1+$B$1)+C12+D12)/3)^2+(C12-(B12*(1+$B$1)+C12+D12)/3)^2+(D12-(B12*(1+$B$1)+C12+D12)/3)^2)/3)/((B12*(1+$B$1)+C12+D12)/3))*((B12*(1+$B$1)+C12+D12)/3)))</f>
        <v>0.847928502214851</v>
      </c>
      <c r="G12" s="21" t="n">
        <f aca="false">SQRT(MAX(0,3*((B12*C12*(1+$B$1)*D12)/(B12+C12*(1+$B$1)+D12)^3)^(1/3)*(1-SQRT(((B12-(B12+C12*(1+$B$1)+D12)/3)^2+(C12*(1+$B$1)-(B12+C12*(1+$B$1)+D12)/3)^2+(D12-(B12+C12*(1+$B$1)+D12)/3)^2)/3)/((B12+C12*(1+$B$1)+D12)/3))*((B12+C12*(1+$B$1)+D12)/3)))</f>
        <v>0.848235998902247</v>
      </c>
      <c r="H12" s="21" t="n">
        <f aca="false">SQRT(MAX(0,3*((B12*C12*D12*(1+$B$1))/(B12+C12+D12*(1+$B$1))^3)^(1/3)*(1-SQRT(((B12-(B12+C12+D12*(1+$B$1))/3)^2+(C12-(B12+C12+D12*(1+$B$1))/3)^2+(D12*(1+$B$1)-(B12+C12+D12*(1+$B$1))/3)^2)/3)/((B12+C12+D12*(1+$B$1))/3))*((B12+C12+D12*(1+$B$1))/3)))</f>
        <v>0.847928502214851</v>
      </c>
      <c r="I12" s="21" t="n">
        <f aca="false">IF(E12=0,"—",(F12-E12)/E12/$B$1)</f>
        <v>0.045464651038082</v>
      </c>
      <c r="J12" s="21" t="n">
        <f aca="false">IF(E12=0,"—",(G12-E12)/E12/$B$1)</f>
        <v>0.40812573251207</v>
      </c>
      <c r="K12" s="21" t="n">
        <f aca="false">IF(E12=0,"—",(H12-E12)/E12/$B$1)</f>
        <v>0.045464651038213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2026-07-04T10:58:59Z</dcterms:created>
  <dc:creator>openpyxl</dc:creator>
  <dc:description/>
  <dc:language>en-US</dc:language>
  <cp:lastModifiedBy/>
  <dcterms:modified xsi:type="dcterms:W3CDTF">2026-07-04T10:58:59Z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