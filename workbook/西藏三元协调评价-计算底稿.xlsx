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_基础数据" sheetId="2" state="visible" r:id="rId2"/>
    <sheet xmlns:r="http://schemas.openxmlformats.org/officeDocument/2006/relationships" name="2_指标值" sheetId="3" state="visible" r:id="rId3"/>
    <sheet xmlns:r="http://schemas.openxmlformats.org/officeDocument/2006/relationships" name="3_标准化" sheetId="4" state="visible" r:id="rId4"/>
    <sheet xmlns:r="http://schemas.openxmlformats.org/officeDocument/2006/relationships" name="4_子系统指数" sheetId="5" state="visible" r:id="rId5"/>
    <sheet xmlns:r="http://schemas.openxmlformats.org/officeDocument/2006/relationships" name="5_MPI协调指数" sheetId="6" state="visible" r:id="rId6"/>
    <sheet xmlns:r="http://schemas.openxmlformats.org/officeDocument/2006/relationships" name="6_组合权重" sheetId="7" state="visible" r:id="rId7"/>
    <sheet xmlns:r="http://schemas.openxmlformats.org/officeDocument/2006/relationships" name="7_结构性贡献缺口" sheetId="8" state="visible" r:id="rId8"/>
    <sheet xmlns:r="http://schemas.openxmlformats.org/officeDocument/2006/relationships" name="8_局部敏感性" sheetId="9" state="visible" r:id="rId9"/>
    <sheet xmlns:r="http://schemas.openxmlformats.org/officeDocument/2006/relationships" name="9_留一法" sheetId="10" state="visible" r:id="rId10"/>
    <sheet xmlns:r="http://schemas.openxmlformats.org/officeDocument/2006/relationships" name="10_稳健性检验" sheetId="11" state="visible" r:id="rId11"/>
    <sheet xmlns:r="http://schemas.openxmlformats.org/officeDocument/2006/relationships" name="11_对照指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+0.0000;-0.0000;0"/>
    <numFmt numFmtId="167" formatCode="0.000000"/>
    <numFmt numFmtId="168" formatCode="+0.000;-0.000;0"/>
  </numFmts>
  <fonts count="5">
    <font>
      <name val="Calibri"/>
      <family val="2"/>
      <color theme="1"/>
      <sz val="11"/>
      <scheme val="minor"/>
    </font>
    <font>
      <b val="1"/>
    </font>
    <font>
      <color rgb="000070C0"/>
    </font>
    <font>
      <color rgb="0000823B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/>
    </xf>
    <xf numFmtId="164" fontId="3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0" borderId="1" pivotButton="0" quotePrefix="0" xfId="0"/>
    <xf numFmtId="164" fontId="1" fillId="0" borderId="1" pivotButton="0" quotePrefix="0" xfId="0"/>
    <xf numFmtId="0" fontId="1" fillId="2" borderId="0" pivotButton="0" quotePrefix="0" xfId="0"/>
    <xf numFmtId="10" fontId="0" fillId="0" borderId="1" pivotButton="0" quotePrefix="0" xfId="0"/>
    <xf numFmtId="10" fontId="1" fillId="0" borderId="1" pivotButton="0" quotePrefix="0" xfId="0"/>
    <xf numFmtId="10" fontId="0" fillId="3" borderId="1" pivotButton="0" quotePrefix="0" xfId="0"/>
    <xf numFmtId="165" fontId="0" fillId="0" borderId="1" pivotButton="0" quotePrefix="0" xfId="0"/>
    <xf numFmtId="168" fontId="0" fillId="3" borderId="1" pivotButton="0" quotePrefix="0" xfId="0"/>
    <xf numFmtId="165" fontId="0" fillId="0" borderId="0" pivotButton="0" quotePrefix="0" xfId="0"/>
    <xf numFmtId="166" fontId="1" fillId="3" borderId="1" pivotButton="0" quotePrefix="0" xfId="0"/>
    <xf numFmtId="164" fontId="0" fillId="0" borderId="0" pivotButton="0" quotePrefix="0" xfId="0"/>
    <xf numFmtId="0" fontId="2" fillId="3" borderId="1" pivotButton="0" quotePrefix="0" xfId="0"/>
    <xf numFmtId="1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 outlineLevelCol="0"/>
  <cols>
    <col width="118" customWidth="1" min="1" max="1"/>
  </cols>
  <sheetData>
    <row r="1">
      <c r="A1" s="1" t="inlineStr">
        <is>
          <t>西藏高质量发展「安全—发展—生态」三元协调评价 · 可复现计算底稿</t>
        </is>
      </c>
    </row>
    <row r="2">
      <c r="A2" s="2" t="inlineStr"/>
    </row>
    <row r="3">
      <c r="A3" s="2" t="inlineStr">
        <is>
          <t>本底稿与论文现行方法严格一致，全部为活公式：修改「1_基础数据」蓝色单元格后，所有下游结果自动重算。</t>
        </is>
      </c>
    </row>
    <row r="4">
      <c r="A4" s="2" t="inlineStr"/>
    </row>
    <row r="5">
      <c r="A5" s="1" t="inlineStr">
        <is>
          <t>计算链路</t>
        </is>
      </c>
    </row>
    <row r="6">
      <c r="A6" s="2" t="inlineStr">
        <is>
          <t xml:space="preserve">  1_基础数据      原始统计值与三条辅助序列（常住人口、全国城乡居民人均可支配收入）</t>
        </is>
      </c>
    </row>
    <row r="7">
      <c r="A7" s="2" t="inlineStr">
        <is>
          <t xml:space="preserve">  2_指标值        按表1口径换算出13项指标（人均化、相对化、比值化）</t>
        </is>
      </c>
    </row>
    <row r="8">
      <c r="A8" s="2" t="inlineStr">
        <is>
          <t xml:space="preserve">  3_标准化        固定基准标准化，式(1)正向/式(2)逆向，超出[0,1]截断；式(3)平移压缩至[0.01,0.99]</t>
        </is>
      </c>
    </row>
    <row r="9">
      <c r="A9" s="2" t="inlineStr">
        <is>
          <t xml:space="preserve">  4_子系统指数    子系统内等权平均，得 US / UD / UE</t>
        </is>
      </c>
    </row>
    <row r="10">
      <c r="A10" s="2" t="inlineStr">
        <is>
          <t xml:space="preserve">  5_MPI协调指数   D = M − S²/M，M为三子系统均值，S²为总体方差</t>
        </is>
      </c>
    </row>
    <row r="11">
      <c r="A11" s="2" t="inlineStr">
        <is>
          <t xml:space="preserve">  6_组合权重      熵值权重 × CRITIC权重后归一（仅用于诊断与稳健性对照，不参与子系统合成）</t>
        </is>
      </c>
    </row>
    <row r="12">
      <c r="A12" s="2" t="inlineStr">
        <is>
          <t xml:space="preserve">  7_结构性贡献缺口  O(i,j) = w(j)·I(i,j) / Σ w·I，逐年计算后取样本期均值（论文表4）</t>
        </is>
      </c>
    </row>
    <row r="13">
      <c r="A13" s="2" t="inlineStr">
        <is>
          <t xml:space="preserve">  8_局部敏感性    ε = (D⁺−D⁻)/(0.02·D)，±1%相对扰动双侧数值微分（论文表5）</t>
        </is>
      </c>
    </row>
    <row r="14">
      <c r="A14" s="2" t="inlineStr">
        <is>
          <t xml:space="preserve">  9_留一法        逐一剔除13项指标重算，检验方向性判断稳健性（论文表6）</t>
        </is>
      </c>
    </row>
    <row r="15">
      <c r="A15" s="2" t="inlineStr">
        <is>
          <t xml:space="preserve">  10_稳健性检验   滚动端点稳定性、极差标准化对照、惯例性上限±25%扰动</t>
        </is>
      </c>
    </row>
    <row r="16">
      <c r="A16" s="2" t="inlineStr">
        <is>
          <t xml:space="preserve">  11_对照指数     四维度线性加总对照（需先在该表填入维度归属）</t>
        </is>
      </c>
    </row>
    <row r="17">
      <c r="A17" s="2" t="inlineStr"/>
    </row>
    <row r="18">
      <c r="A18" s="1" t="inlineStr">
        <is>
          <t>关键设定</t>
        </is>
      </c>
    </row>
    <row r="19">
      <c r="A19" s="2" t="inlineStr">
        <is>
          <t xml:space="preserve">  · 标准化：固定基准法为主设定，上下限外生、不随样本更新而回溯改写（论文§3(三)）</t>
        </is>
      </c>
    </row>
    <row r="20">
      <c r="A20" s="2" t="inlineStr">
        <is>
          <t xml:space="preserve">  · 合成权重：子系统内等权为主设定；客观赋权仅用于诊断与稳健性对照（论文§3(四)）</t>
        </is>
      </c>
    </row>
    <row r="21">
      <c r="A21" s="2" t="inlineStr">
        <is>
          <t xml:space="preserve">  · 聚合：MPI失衡惩罚型指数，非传统耦合协调度（论文§3(五)）</t>
        </is>
      </c>
    </row>
    <row r="22">
      <c r="A22" s="2" t="inlineStr">
        <is>
          <t xml:space="preserve">  · 地区生产总值采用含第五次全国经济普查修订的最新核算口径（2023年为2532.86亿元）</t>
        </is>
      </c>
    </row>
    <row r="23">
      <c r="A23" s="2" t="inlineStr"/>
    </row>
    <row r="24">
      <c r="A24" s="2" t="inlineStr">
        <is>
          <t>颜色约定：蓝色=原始输入（可修改）；黑色=本表公式；绿色=引用其他表；黄底=与论文载值的核对列</t>
        </is>
      </c>
    </row>
    <row r="25">
      <c r="A25" s="2" t="inlineStr"/>
    </row>
    <row r="26">
      <c r="A26" s="1" t="inlineStr">
        <is>
          <t>已知差异（如实标注，勿删）</t>
        </is>
      </c>
    </row>
    <row r="27">
      <c r="A27" s="2" t="inlineStr">
        <is>
          <t xml:space="preserve">  安全子系统 US 与生态子系统 UE：与论文表3 逐年精确吻合（各10/10）。</t>
        </is>
      </c>
    </row>
    <row r="28">
      <c r="A28" s="2" t="inlineStr">
        <is>
          <t xml:space="preserve">  发展子系统 UD：与论文表3 存在 0.001—0.005 的差异，传导至MPI最大0.002，不改变任何结论。</t>
        </is>
      </c>
    </row>
    <row r="29">
      <c r="A29" s="2" t="inlineStr">
        <is>
          <t xml:space="preserve">    原因待作者确认：本底稿的发展类原始值取自旧版计算文件，现稿可能已更新其中部分数值。</t>
        </is>
      </c>
    </row>
    <row r="30">
      <c r="A30" s="2" t="inlineStr">
        <is>
          <t xml:space="preserve">  三阶段短板归属（论文核心结论）：经本底稿独立复算，10/10 与论文一致。</t>
        </is>
      </c>
    </row>
    <row r="31">
      <c r="A31" s="2" t="inlineStr"/>
    </row>
    <row r="32">
      <c r="A32" s="2" t="inlineStr">
        <is>
          <t>辅助序列来源：西藏常住人口据历年统计公报与第七次全国人口普查；全国城乡居民人均可支配收入据国家统计局</t>
        </is>
      </c>
    </row>
    <row r="33">
      <c r="A33" s="2" t="inlineStr">
        <is>
          <t>历年《居民收入和消费支出情况》。其中2016—2018年西藏常住人口未经原件直接确证，但US三年均精确吻合。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基础数据（蓝色为原始输入，可直接修改）</t>
        </is>
      </c>
    </row>
    <row r="2">
      <c r="A2" s="4" t="inlineStr">
        <is>
          <t>项目</t>
        </is>
      </c>
      <c r="B2" s="4" t="inlineStr">
        <is>
          <t>单位</t>
        </is>
      </c>
      <c r="C2" s="4" t="inlineStr">
        <is>
          <t>2016</t>
        </is>
      </c>
      <c r="D2" s="4" t="inlineStr">
        <is>
          <t>2017</t>
        </is>
      </c>
      <c r="E2" s="4" t="inlineStr">
        <is>
          <t>2018</t>
        </is>
      </c>
      <c r="F2" s="4" t="inlineStr">
        <is>
          <t>2019</t>
        </is>
      </c>
      <c r="G2" s="4" t="inlineStr">
        <is>
          <t>2020</t>
        </is>
      </c>
      <c r="H2" s="4" t="inlineStr">
        <is>
          <t>2021</t>
        </is>
      </c>
      <c r="I2" s="4" t="inlineStr">
        <is>
          <t>2022</t>
        </is>
      </c>
      <c r="J2" s="4" t="inlineStr">
        <is>
          <t>2023</t>
        </is>
      </c>
      <c r="K2" s="4" t="inlineStr">
        <is>
          <t>2024</t>
        </is>
      </c>
      <c r="L2" s="4" t="inlineStr">
        <is>
          <t>2025</t>
        </is>
      </c>
    </row>
    <row r="3">
      <c r="A3" s="5" t="inlineStr">
        <is>
          <t>地方一般公共预算收入</t>
        </is>
      </c>
      <c r="B3" s="5" t="inlineStr">
        <is>
          <t>亿元</t>
        </is>
      </c>
      <c r="C3" s="6" t="n">
        <v>155.99</v>
      </c>
      <c r="D3" s="6" t="n">
        <v>185.83</v>
      </c>
      <c r="E3" s="6" t="n">
        <v>230.35</v>
      </c>
      <c r="F3" s="6" t="n">
        <v>221.99</v>
      </c>
      <c r="G3" s="6" t="n">
        <v>220.99</v>
      </c>
      <c r="H3" s="6" t="n">
        <v>215.62</v>
      </c>
      <c r="I3" s="6" t="n">
        <v>179.63</v>
      </c>
      <c r="J3" s="6" t="n">
        <v>236.63</v>
      </c>
      <c r="K3" s="6" t="n">
        <v>277.19</v>
      </c>
      <c r="L3" s="6" t="n">
        <v>317.9</v>
      </c>
    </row>
    <row r="4">
      <c r="A4" s="5" t="inlineStr">
        <is>
          <t>城乡居民人均可支配收入比</t>
        </is>
      </c>
      <c r="B4" s="5" t="inlineStr">
        <is>
          <t>倍</t>
        </is>
      </c>
      <c r="C4" s="6" t="n">
        <v>3.05718</v>
      </c>
      <c r="D4" s="6" t="n">
        <v>2.96912</v>
      </c>
      <c r="E4" s="6" t="n">
        <v>2.9517</v>
      </c>
      <c r="F4" s="6" t="n">
        <v>2.88858</v>
      </c>
      <c r="G4" s="6" t="n">
        <v>2.81929</v>
      </c>
      <c r="H4" s="6" t="n">
        <v>2.74597</v>
      </c>
      <c r="I4" s="6" t="n">
        <v>2.67741</v>
      </c>
      <c r="J4" s="6" t="n">
        <v>2.6049</v>
      </c>
      <c r="K4" s="6" t="n">
        <v>2.56947</v>
      </c>
      <c r="L4" s="6" t="n">
        <v>2.53597</v>
      </c>
    </row>
    <row r="5">
      <c r="A5" s="5" t="inlineStr">
        <is>
          <t>居民医保人均财政补助标准</t>
        </is>
      </c>
      <c r="B5" s="5" t="inlineStr">
        <is>
          <t>元/人年</t>
        </is>
      </c>
      <c r="C5" s="6" t="n">
        <v>420</v>
      </c>
      <c r="D5" s="6" t="n">
        <v>450</v>
      </c>
      <c r="E5" s="6" t="n">
        <v>515</v>
      </c>
      <c r="F5" s="6" t="n">
        <v>515</v>
      </c>
      <c r="G5" s="6" t="n">
        <v>550</v>
      </c>
      <c r="H5" s="6" t="n">
        <v>580</v>
      </c>
      <c r="I5" s="6" t="n">
        <v>615</v>
      </c>
      <c r="J5" s="6" t="n">
        <v>675</v>
      </c>
      <c r="K5" s="6" t="n">
        <v>705</v>
      </c>
      <c r="L5" s="6" t="n">
        <v>735</v>
      </c>
    </row>
    <row r="6">
      <c r="A6" s="5" t="inlineStr">
        <is>
          <t>基本养老保险参保率</t>
        </is>
      </c>
      <c r="B6" s="5" t="inlineStr">
        <is>
          <t>%</t>
        </is>
      </c>
      <c r="C6" s="6" t="n">
        <v>85.5</v>
      </c>
      <c r="D6" s="6" t="n">
        <v>89.3</v>
      </c>
      <c r="E6" s="6" t="n">
        <v>91.15000000000001</v>
      </c>
      <c r="F6" s="6" t="n">
        <v>92.59999999999999</v>
      </c>
      <c r="G6" s="6" t="n">
        <v>94.09999999999999</v>
      </c>
      <c r="H6" s="6" t="n">
        <v>95.2</v>
      </c>
      <c r="I6" s="6" t="n">
        <v>95.5</v>
      </c>
      <c r="J6" s="6" t="n">
        <v>95.8</v>
      </c>
      <c r="K6" s="6" t="n">
        <v>96.31</v>
      </c>
      <c r="L6" s="6" t="n">
        <v>96.5</v>
      </c>
    </row>
    <row r="7">
      <c r="A7" s="5" t="inlineStr">
        <is>
          <t>人均GDP相对全国水平</t>
        </is>
      </c>
      <c r="B7" s="5" t="inlineStr">
        <is>
          <t>%</t>
        </is>
      </c>
      <c r="C7" s="6" t="n">
        <v>65.41840000000001</v>
      </c>
      <c r="D7" s="6" t="n">
        <v>65.8931</v>
      </c>
      <c r="E7" s="6" t="n">
        <v>66.2221</v>
      </c>
      <c r="F7" s="6" t="n">
        <v>69.7822</v>
      </c>
      <c r="G7" s="6" t="n">
        <v>72.8755</v>
      </c>
      <c r="H7" s="6" t="n">
        <v>68.3805</v>
      </c>
      <c r="I7" s="6" t="n">
        <v>68.5</v>
      </c>
      <c r="J7" s="6" t="n">
        <v>73.44</v>
      </c>
      <c r="K7" s="6" t="n">
        <v>78.58</v>
      </c>
      <c r="L7" s="6" t="n">
        <v>81.77</v>
      </c>
    </row>
    <row r="8">
      <c r="A8" s="5" t="inlineStr">
        <is>
          <t>地区生产总值</t>
        </is>
      </c>
      <c r="B8" s="5" t="inlineStr">
        <is>
          <t>亿元</t>
        </is>
      </c>
      <c r="C8" s="6" t="n">
        <v>1197.38</v>
      </c>
      <c r="D8" s="6" t="n">
        <v>1380.97</v>
      </c>
      <c r="E8" s="6" t="n">
        <v>1583.48</v>
      </c>
      <c r="F8" s="6" t="n">
        <v>1750.34</v>
      </c>
      <c r="G8" s="6" t="n">
        <v>1956.54</v>
      </c>
      <c r="H8" s="6" t="n">
        <v>2145.08</v>
      </c>
      <c r="I8" s="6" t="n">
        <v>2235.39</v>
      </c>
      <c r="J8" s="6" t="n">
        <v>2532.86</v>
      </c>
      <c r="K8" s="6" t="n">
        <v>2789.07</v>
      </c>
      <c r="L8" s="6" t="n">
        <v>3031.89</v>
      </c>
    </row>
    <row r="9">
      <c r="A9" s="5" t="inlineStr">
        <is>
          <t>农村居民人均可支配收入</t>
        </is>
      </c>
      <c r="B9" s="5" t="inlineStr">
        <is>
          <t>元</t>
        </is>
      </c>
      <c r="C9" s="6" t="n">
        <v>9094</v>
      </c>
      <c r="D9" s="6" t="n">
        <v>10330</v>
      </c>
      <c r="E9" s="6" t="n">
        <v>11450</v>
      </c>
      <c r="F9" s="6" t="n">
        <v>12951</v>
      </c>
      <c r="G9" s="6" t="n">
        <v>14598</v>
      </c>
      <c r="H9" s="6" t="n">
        <v>16935</v>
      </c>
      <c r="I9" s="6" t="n">
        <v>18209</v>
      </c>
      <c r="J9" s="6" t="n">
        <v>19924</v>
      </c>
      <c r="K9" s="6" t="n">
        <v>21578</v>
      </c>
      <c r="L9" s="6" t="n">
        <v>23184</v>
      </c>
    </row>
    <row r="10">
      <c r="A10" s="5" t="inlineStr">
        <is>
          <t>货物进出口总额</t>
        </is>
      </c>
      <c r="B10" s="5" t="inlineStr">
        <is>
          <t>亿元</t>
        </is>
      </c>
      <c r="C10" s="6" t="n">
        <v>51.67</v>
      </c>
      <c r="D10" s="6" t="n">
        <v>59.19</v>
      </c>
      <c r="E10" s="6" t="n">
        <v>47.52</v>
      </c>
      <c r="F10" s="6" t="n">
        <v>48.76</v>
      </c>
      <c r="G10" s="6" t="n">
        <v>21.33</v>
      </c>
      <c r="H10" s="6" t="n">
        <v>40.16</v>
      </c>
      <c r="I10" s="6" t="n">
        <v>46.01</v>
      </c>
      <c r="J10" s="6" t="n">
        <v>109.78</v>
      </c>
      <c r="K10" s="6" t="n">
        <v>126.72</v>
      </c>
      <c r="L10" s="6" t="n">
        <v>84.79000000000001</v>
      </c>
    </row>
    <row r="11">
      <c r="A11" s="5" t="inlineStr">
        <is>
          <t>接待游客总人数</t>
        </is>
      </c>
      <c r="B11" s="5" t="inlineStr">
        <is>
          <t>万人次</t>
        </is>
      </c>
      <c r="C11" s="6" t="n">
        <v>2315.94</v>
      </c>
      <c r="D11" s="6" t="n">
        <v>2561.43</v>
      </c>
      <c r="E11" s="6" t="n">
        <v>3368.73</v>
      </c>
      <c r="F11" s="6" t="n">
        <v>4012.15</v>
      </c>
      <c r="G11" s="6" t="n">
        <v>3505.01</v>
      </c>
      <c r="H11" s="6" t="n">
        <v>4153.44</v>
      </c>
      <c r="I11" s="6" t="n">
        <v>3002.76</v>
      </c>
      <c r="J11" s="6" t="n">
        <v>5516.98</v>
      </c>
      <c r="K11" s="6" t="n">
        <v>6389.1</v>
      </c>
      <c r="L11" s="6" t="n">
        <v>7073.37</v>
      </c>
    </row>
    <row r="12">
      <c r="A12" s="5" t="inlineStr">
        <is>
          <t>发电量</t>
        </is>
      </c>
      <c r="B12" s="5" t="inlineStr">
        <is>
          <t>亿千瓦时</t>
        </is>
      </c>
      <c r="C12" s="6" t="n">
        <v>50.78</v>
      </c>
      <c r="D12" s="6" t="n">
        <v>52.06</v>
      </c>
      <c r="E12" s="6" t="n">
        <v>63.14</v>
      </c>
      <c r="F12" s="6" t="n">
        <v>66.3</v>
      </c>
      <c r="G12" s="6" t="n">
        <v>67.09999999999999</v>
      </c>
      <c r="H12" s="6" t="n">
        <v>80.8</v>
      </c>
      <c r="I12" s="6" t="n">
        <v>111.1</v>
      </c>
      <c r="J12" s="6" t="n">
        <v>133.5</v>
      </c>
      <c r="K12" s="6" t="n">
        <v>140.41</v>
      </c>
      <c r="L12" s="6" t="n">
        <v>162.42</v>
      </c>
    </row>
    <row r="13">
      <c r="A13" s="5" t="inlineStr">
        <is>
          <t>单位GDP能耗指数</t>
        </is>
      </c>
      <c r="B13" s="5" t="inlineStr">
        <is>
          <t>指数</t>
        </is>
      </c>
      <c r="C13" s="6" t="n">
        <v>96.8</v>
      </c>
      <c r="D13" s="6" t="n">
        <v>93.41</v>
      </c>
      <c r="E13" s="6" t="n">
        <v>90.51000000000001</v>
      </c>
      <c r="F13" s="6" t="n">
        <v>87.98</v>
      </c>
      <c r="G13" s="6" t="n">
        <v>86.66</v>
      </c>
      <c r="H13" s="6" t="n">
        <v>84.06</v>
      </c>
      <c r="I13" s="6" t="n">
        <v>81.2</v>
      </c>
      <c r="J13" s="6" t="n">
        <v>78.84999999999999</v>
      </c>
      <c r="K13" s="6" t="n">
        <v>76.41</v>
      </c>
      <c r="L13" s="6" t="n">
        <v>73.89</v>
      </c>
    </row>
    <row r="14">
      <c r="A14" s="5" t="inlineStr">
        <is>
          <t>森林覆盖率</t>
        </is>
      </c>
      <c r="B14" s="5" t="inlineStr">
        <is>
          <t>%</t>
        </is>
      </c>
      <c r="C14" s="6" t="n">
        <v>11.98</v>
      </c>
      <c r="D14" s="6" t="n">
        <v>12.14</v>
      </c>
      <c r="E14" s="6" t="n">
        <v>12.14</v>
      </c>
      <c r="F14" s="6" t="n">
        <v>12.14</v>
      </c>
      <c r="G14" s="6" t="n">
        <v>12.31</v>
      </c>
      <c r="H14" s="6" t="n">
        <v>12.31</v>
      </c>
      <c r="I14" s="6" t="n">
        <v>12.31</v>
      </c>
      <c r="J14" s="6" t="n">
        <v>12.31</v>
      </c>
      <c r="K14" s="6" t="n">
        <v>12.31</v>
      </c>
      <c r="L14" s="6" t="n">
        <v>12.54</v>
      </c>
    </row>
    <row r="15">
      <c r="A15" s="5" t="inlineStr">
        <is>
          <t>空气质量优良天数比例</t>
        </is>
      </c>
      <c r="B15" s="5" t="inlineStr">
        <is>
          <t>%</t>
        </is>
      </c>
      <c r="C15" s="6" t="n">
        <v>96.8</v>
      </c>
      <c r="D15" s="6" t="n">
        <v>97.3</v>
      </c>
      <c r="E15" s="6" t="n">
        <v>98.90000000000001</v>
      </c>
      <c r="F15" s="6" t="n">
        <v>99.59999999999999</v>
      </c>
      <c r="G15" s="6" t="n">
        <v>99.40000000000001</v>
      </c>
      <c r="H15" s="6" t="n">
        <v>99.2</v>
      </c>
      <c r="I15" s="6" t="n">
        <v>99</v>
      </c>
      <c r="J15" s="6" t="n">
        <v>99.40000000000001</v>
      </c>
      <c r="K15" s="6" t="n">
        <v>99.5</v>
      </c>
      <c r="L15" s="6" t="n">
        <v>99.59999999999999</v>
      </c>
    </row>
    <row r="16">
      <c r="A16" s="5" t="inlineStr">
        <is>
          <t>草原综合植被盖度</t>
        </is>
      </c>
      <c r="B16" s="5" t="inlineStr">
        <is>
          <t>%</t>
        </is>
      </c>
      <c r="C16" s="6" t="n">
        <v>42.3</v>
      </c>
      <c r="D16" s="6" t="n">
        <v>44.2</v>
      </c>
      <c r="E16" s="6" t="n">
        <v>45.9</v>
      </c>
      <c r="F16" s="6" t="n">
        <v>46.7</v>
      </c>
      <c r="G16" s="6" t="n">
        <v>46.9</v>
      </c>
      <c r="H16" s="6" t="n">
        <v>47.14</v>
      </c>
      <c r="I16" s="6" t="n">
        <v>47.5</v>
      </c>
      <c r="J16" s="6" t="n">
        <v>47.78</v>
      </c>
      <c r="K16" s="6" t="n">
        <v>48.02</v>
      </c>
      <c r="L16" s="6" t="n">
        <v>48.07</v>
      </c>
    </row>
    <row r="18">
      <c r="A18" s="3" t="inlineStr">
        <is>
          <t>辅助序列</t>
        </is>
      </c>
    </row>
    <row r="19">
      <c r="A19" s="5" t="inlineStr">
        <is>
          <t>西藏年末常住人口</t>
        </is>
      </c>
      <c r="B19" s="5" t="inlineStr">
        <is>
          <t>万人</t>
        </is>
      </c>
      <c r="C19" s="6" t="n">
        <v>330.54</v>
      </c>
      <c r="D19" s="6" t="n">
        <v>337.15</v>
      </c>
      <c r="E19" s="6" t="n">
        <v>343.82</v>
      </c>
      <c r="F19" s="6" t="n">
        <v>350.56</v>
      </c>
      <c r="G19" s="6" t="n">
        <v>364.81</v>
      </c>
      <c r="H19" s="6" t="n">
        <v>366</v>
      </c>
      <c r="I19" s="6" t="n">
        <v>364</v>
      </c>
      <c r="J19" s="6" t="n">
        <v>365</v>
      </c>
      <c r="K19" s="6" t="n">
        <v>370</v>
      </c>
      <c r="L19" s="6" t="n">
        <v>374</v>
      </c>
    </row>
    <row r="20">
      <c r="A20" s="5" t="inlineStr">
        <is>
          <t>全国农村居民人均可支配收入</t>
        </is>
      </c>
      <c r="B20" s="5" t="inlineStr">
        <is>
          <t>元</t>
        </is>
      </c>
      <c r="C20" s="6" t="n">
        <v>12363</v>
      </c>
      <c r="D20" s="6" t="n">
        <v>13432</v>
      </c>
      <c r="E20" s="6" t="n">
        <v>14617</v>
      </c>
      <c r="F20" s="6" t="n">
        <v>16021</v>
      </c>
      <c r="G20" s="6" t="n">
        <v>17131</v>
      </c>
      <c r="H20" s="6" t="n">
        <v>18931</v>
      </c>
      <c r="I20" s="6" t="n">
        <v>20133</v>
      </c>
      <c r="J20" s="6" t="n">
        <v>21691</v>
      </c>
      <c r="K20" s="6" t="n">
        <v>23119</v>
      </c>
      <c r="L20" s="6" t="n">
        <v>24456</v>
      </c>
    </row>
    <row r="21">
      <c r="A21" s="5" t="inlineStr">
        <is>
          <t>全国城镇居民人均可支配收入</t>
        </is>
      </c>
      <c r="B21" s="5" t="inlineStr">
        <is>
          <t>元</t>
        </is>
      </c>
      <c r="C21" s="6" t="n">
        <v>33616</v>
      </c>
      <c r="D21" s="6" t="n">
        <v>36396</v>
      </c>
      <c r="E21" s="6" t="n">
        <v>39251</v>
      </c>
      <c r="F21" s="6" t="n">
        <v>42359</v>
      </c>
      <c r="G21" s="6" t="n">
        <v>43834</v>
      </c>
      <c r="H21" s="6" t="n">
        <v>47412</v>
      </c>
      <c r="I21" s="6" t="n">
        <v>49283</v>
      </c>
      <c r="J21" s="6" t="n">
        <v>51821</v>
      </c>
      <c r="K21" s="6" t="n">
        <v>54188</v>
      </c>
      <c r="L21" s="6" t="n">
        <v>56502</v>
      </c>
    </row>
    <row r="22">
      <c r="A22" s="5" t="inlineStr">
        <is>
          <t>全国城乡居民收入比</t>
        </is>
      </c>
      <c r="B22" s="5" t="inlineStr">
        <is>
          <t>倍</t>
        </is>
      </c>
      <c r="C22" s="7">
        <f>C21/C20</f>
        <v/>
      </c>
      <c r="D22" s="7">
        <f>D21/D20</f>
        <v/>
      </c>
      <c r="E22" s="7">
        <f>E21/E20</f>
        <v/>
      </c>
      <c r="F22" s="7">
        <f>F21/F20</f>
        <v/>
      </c>
      <c r="G22" s="7">
        <f>G21/G20</f>
        <v/>
      </c>
      <c r="H22" s="7">
        <f>H21/H20</f>
        <v/>
      </c>
      <c r="I22" s="7">
        <f>I21/I20</f>
        <v/>
      </c>
      <c r="J22" s="7">
        <f>J21/J20</f>
        <v/>
      </c>
      <c r="K22" s="7">
        <f>K21/K20</f>
        <v/>
      </c>
      <c r="L22" s="7">
        <f>L21/L20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7" customWidth="1" min="2" max="2"/>
    <col width="34" customWidth="1" min="3" max="3"/>
    <col width="7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3" t="inlineStr">
        <is>
          <t>13项指标（表1口径）—— 由 1_基础数据 换算</t>
        </is>
      </c>
    </row>
    <row r="2">
      <c r="A2" s="4" t="inlineStr">
        <is>
          <t>子系统</t>
        </is>
      </c>
      <c r="B2" s="4" t="inlineStr">
        <is>
          <t>编码</t>
        </is>
      </c>
      <c r="C2" s="4" t="inlineStr">
        <is>
          <t>三级指标</t>
        </is>
      </c>
      <c r="D2" s="4" t="inlineStr">
        <is>
          <t>方向</t>
        </is>
      </c>
      <c r="E2" s="4" t="inlineStr">
        <is>
          <t>下限</t>
        </is>
      </c>
      <c r="F2" s="4" t="inlineStr">
        <is>
          <t>上限</t>
        </is>
      </c>
      <c r="G2" s="8" t="inlineStr">
        <is>
          <t>2016</t>
        </is>
      </c>
      <c r="H2" s="8" t="inlineStr">
        <is>
          <t>2017</t>
        </is>
      </c>
      <c r="I2" s="8" t="inlineStr">
        <is>
          <t>2018</t>
        </is>
      </c>
      <c r="J2" s="8" t="inlineStr">
        <is>
          <t>2019</t>
        </is>
      </c>
      <c r="K2" s="8" t="inlineStr">
        <is>
          <t>2020</t>
        </is>
      </c>
      <c r="L2" s="8" t="inlineStr">
        <is>
          <t>2021</t>
        </is>
      </c>
      <c r="M2" s="8" t="inlineStr">
        <is>
          <t>2022</t>
        </is>
      </c>
      <c r="N2" s="8" t="inlineStr">
        <is>
          <t>2023</t>
        </is>
      </c>
      <c r="O2" s="8" t="inlineStr">
        <is>
          <t>2024</t>
        </is>
      </c>
      <c r="P2" s="8" t="inlineStr">
        <is>
          <t>2025</t>
        </is>
      </c>
    </row>
    <row r="3">
      <c r="A3" s="5" t="inlineStr">
        <is>
          <t>安全 S</t>
        </is>
      </c>
      <c r="B3" s="5" t="inlineStr">
        <is>
          <t>S1</t>
        </is>
      </c>
      <c r="C3" s="5" t="inlineStr">
        <is>
          <t>人均一般公共预算收入（元/人）</t>
        </is>
      </c>
      <c r="D3" s="5" t="inlineStr">
        <is>
          <t>正向</t>
        </is>
      </c>
      <c r="E3" s="5" t="n">
        <v>0</v>
      </c>
      <c r="F3" s="5">
        <f>'10_稳健性检验'!D54</f>
        <v/>
      </c>
      <c r="G3" s="9">
        <f>'1_基础数据'!C3*10000/'1_基础数据'!C19</f>
        <v/>
      </c>
      <c r="H3" s="9">
        <f>'1_基础数据'!D3*10000/'1_基础数据'!D19</f>
        <v/>
      </c>
      <c r="I3" s="9">
        <f>'1_基础数据'!E3*10000/'1_基础数据'!E19</f>
        <v/>
      </c>
      <c r="J3" s="9">
        <f>'1_基础数据'!F3*10000/'1_基础数据'!F19</f>
        <v/>
      </c>
      <c r="K3" s="9">
        <f>'1_基础数据'!G3*10000/'1_基础数据'!G19</f>
        <v/>
      </c>
      <c r="L3" s="9">
        <f>'1_基础数据'!H3*10000/'1_基础数据'!H19</f>
        <v/>
      </c>
      <c r="M3" s="9">
        <f>'1_基础数据'!I3*10000/'1_基础数据'!I19</f>
        <v/>
      </c>
      <c r="N3" s="9">
        <f>'1_基础数据'!J3*10000/'1_基础数据'!J19</f>
        <v/>
      </c>
      <c r="O3" s="9">
        <f>'1_基础数据'!K3*10000/'1_基础数据'!K19</f>
        <v/>
      </c>
      <c r="P3" s="9">
        <f>'1_基础数据'!L3*10000/'1_基础数据'!L19</f>
        <v/>
      </c>
    </row>
    <row r="4">
      <c r="A4" s="5" t="inlineStr">
        <is>
          <t>安全 S</t>
        </is>
      </c>
      <c r="B4" s="5" t="inlineStr">
        <is>
          <t>S2</t>
        </is>
      </c>
      <c r="C4" s="5" t="inlineStr">
        <is>
          <t>城乡居民收入比与全国差距（倍）</t>
        </is>
      </c>
      <c r="D4" s="5" t="inlineStr">
        <is>
          <t>逆向</t>
        </is>
      </c>
      <c r="E4" s="5" t="n">
        <v>-1</v>
      </c>
      <c r="F4" s="5" t="n">
        <v>2</v>
      </c>
      <c r="G4" s="9">
        <f>'1_基础数据'!C4-'1_基础数据'!C22</f>
        <v/>
      </c>
      <c r="H4" s="9">
        <f>'1_基础数据'!D4-'1_基础数据'!D22</f>
        <v/>
      </c>
      <c r="I4" s="9">
        <f>'1_基础数据'!E4-'1_基础数据'!E22</f>
        <v/>
      </c>
      <c r="J4" s="9">
        <f>'1_基础数据'!F4-'1_基础数据'!F22</f>
        <v/>
      </c>
      <c r="K4" s="9">
        <f>'1_基础数据'!G4-'1_基础数据'!G22</f>
        <v/>
      </c>
      <c r="L4" s="9">
        <f>'1_基础数据'!H4-'1_基础数据'!H22</f>
        <v/>
      </c>
      <c r="M4" s="9">
        <f>'1_基础数据'!I4-'1_基础数据'!I22</f>
        <v/>
      </c>
      <c r="N4" s="9">
        <f>'1_基础数据'!J4-'1_基础数据'!J22</f>
        <v/>
      </c>
      <c r="O4" s="9">
        <f>'1_基础数据'!K4-'1_基础数据'!K22</f>
        <v/>
      </c>
      <c r="P4" s="9">
        <f>'1_基础数据'!L4-'1_基础数据'!L22</f>
        <v/>
      </c>
    </row>
    <row r="5">
      <c r="A5" s="5" t="inlineStr">
        <is>
          <t>安全 S</t>
        </is>
      </c>
      <c r="B5" s="5" t="inlineStr">
        <is>
          <t>S3</t>
        </is>
      </c>
      <c r="C5" s="5" t="inlineStr">
        <is>
          <t>居民医保人均财政补助标准（元/人年）</t>
        </is>
      </c>
      <c r="D5" s="5" t="inlineStr">
        <is>
          <t>正向</t>
        </is>
      </c>
      <c r="E5" s="5" t="n">
        <v>0</v>
      </c>
      <c r="F5" s="5">
        <f>'10_稳健性检验'!D55</f>
        <v/>
      </c>
      <c r="G5" s="9">
        <f>'1_基础数据'!C5</f>
        <v/>
      </c>
      <c r="H5" s="9">
        <f>'1_基础数据'!D5</f>
        <v/>
      </c>
      <c r="I5" s="9">
        <f>'1_基础数据'!E5</f>
        <v/>
      </c>
      <c r="J5" s="9">
        <f>'1_基础数据'!F5</f>
        <v/>
      </c>
      <c r="K5" s="9">
        <f>'1_基础数据'!G5</f>
        <v/>
      </c>
      <c r="L5" s="9">
        <f>'1_基础数据'!H5</f>
        <v/>
      </c>
      <c r="M5" s="9">
        <f>'1_基础数据'!I5</f>
        <v/>
      </c>
      <c r="N5" s="9">
        <f>'1_基础数据'!J5</f>
        <v/>
      </c>
      <c r="O5" s="9">
        <f>'1_基础数据'!K5</f>
        <v/>
      </c>
      <c r="P5" s="9">
        <f>'1_基础数据'!L5</f>
        <v/>
      </c>
    </row>
    <row r="6">
      <c r="A6" s="5" t="inlineStr">
        <is>
          <t>安全 S</t>
        </is>
      </c>
      <c r="B6" s="5" t="inlineStr">
        <is>
          <t>S4</t>
        </is>
      </c>
      <c r="C6" s="5" t="inlineStr">
        <is>
          <t>基本养老保险参保率（%）</t>
        </is>
      </c>
      <c r="D6" s="5" t="inlineStr">
        <is>
          <t>正向</t>
        </is>
      </c>
      <c r="E6" s="5" t="n">
        <v>0</v>
      </c>
      <c r="F6" s="5" t="n">
        <v>100</v>
      </c>
      <c r="G6" s="9">
        <f>'1_基础数据'!C6</f>
        <v/>
      </c>
      <c r="H6" s="9">
        <f>'1_基础数据'!D6</f>
        <v/>
      </c>
      <c r="I6" s="9">
        <f>'1_基础数据'!E6</f>
        <v/>
      </c>
      <c r="J6" s="9">
        <f>'1_基础数据'!F6</f>
        <v/>
      </c>
      <c r="K6" s="9">
        <f>'1_基础数据'!G6</f>
        <v/>
      </c>
      <c r="L6" s="9">
        <f>'1_基础数据'!H6</f>
        <v/>
      </c>
      <c r="M6" s="9">
        <f>'1_基础数据'!I6</f>
        <v/>
      </c>
      <c r="N6" s="9">
        <f>'1_基础数据'!J6</f>
        <v/>
      </c>
      <c r="O6" s="9">
        <f>'1_基础数据'!K6</f>
        <v/>
      </c>
      <c r="P6" s="9">
        <f>'1_基础数据'!L6</f>
        <v/>
      </c>
    </row>
    <row r="7">
      <c r="A7" s="5" t="inlineStr">
        <is>
          <t>发展 D</t>
        </is>
      </c>
      <c r="B7" s="5" t="inlineStr">
        <is>
          <t>D1</t>
        </is>
      </c>
      <c r="C7" s="5" t="inlineStr">
        <is>
          <t>人均GDP相对全国水平（%）</t>
        </is>
      </c>
      <c r="D7" s="5" t="inlineStr">
        <is>
          <t>正向</t>
        </is>
      </c>
      <c r="E7" s="5" t="n">
        <v>0</v>
      </c>
      <c r="F7" s="5" t="n">
        <v>100</v>
      </c>
      <c r="G7" s="9">
        <f>'1_基础数据'!C7</f>
        <v/>
      </c>
      <c r="H7" s="9">
        <f>'1_基础数据'!D7</f>
        <v/>
      </c>
      <c r="I7" s="9">
        <f>'1_基础数据'!E7</f>
        <v/>
      </c>
      <c r="J7" s="9">
        <f>'1_基础数据'!F7</f>
        <v/>
      </c>
      <c r="K7" s="9">
        <f>'1_基础数据'!G7</f>
        <v/>
      </c>
      <c r="L7" s="9">
        <f>'1_基础数据'!H7</f>
        <v/>
      </c>
      <c r="M7" s="9">
        <f>'1_基础数据'!I7</f>
        <v/>
      </c>
      <c r="N7" s="9">
        <f>'1_基础数据'!J7</f>
        <v/>
      </c>
      <c r="O7" s="9">
        <f>'1_基础数据'!K7</f>
        <v/>
      </c>
      <c r="P7" s="9">
        <f>'1_基础数据'!L7</f>
        <v/>
      </c>
    </row>
    <row r="8">
      <c r="A8" s="5" t="inlineStr">
        <is>
          <t>发展 D</t>
        </is>
      </c>
      <c r="B8" s="5" t="inlineStr">
        <is>
          <t>D2</t>
        </is>
      </c>
      <c r="C8" s="5" t="inlineStr">
        <is>
          <t>农村居民人均收入相对全国水平（%）</t>
        </is>
      </c>
      <c r="D8" s="5" t="inlineStr">
        <is>
          <t>正向</t>
        </is>
      </c>
      <c r="E8" s="5" t="n">
        <v>0</v>
      </c>
      <c r="F8" s="5" t="n">
        <v>100</v>
      </c>
      <c r="G8" s="9">
        <f>'1_基础数据'!C9/'1_基础数据'!C20*100</f>
        <v/>
      </c>
      <c r="H8" s="9">
        <f>'1_基础数据'!D9/'1_基础数据'!D20*100</f>
        <v/>
      </c>
      <c r="I8" s="9">
        <f>'1_基础数据'!E9/'1_基础数据'!E20*100</f>
        <v/>
      </c>
      <c r="J8" s="9">
        <f>'1_基础数据'!F9/'1_基础数据'!F20*100</f>
        <v/>
      </c>
      <c r="K8" s="9">
        <f>'1_基础数据'!G9/'1_基础数据'!G20*100</f>
        <v/>
      </c>
      <c r="L8" s="9">
        <f>'1_基础数据'!H9/'1_基础数据'!H20*100</f>
        <v/>
      </c>
      <c r="M8" s="9">
        <f>'1_基础数据'!I9/'1_基础数据'!I20*100</f>
        <v/>
      </c>
      <c r="N8" s="9">
        <f>'1_基础数据'!J9/'1_基础数据'!J20*100</f>
        <v/>
      </c>
      <c r="O8" s="9">
        <f>'1_基础数据'!K9/'1_基础数据'!K20*100</f>
        <v/>
      </c>
      <c r="P8" s="9">
        <f>'1_基础数据'!L9/'1_基础数据'!L20*100</f>
        <v/>
      </c>
    </row>
    <row r="9">
      <c r="A9" s="5" t="inlineStr">
        <is>
          <t>发展 D</t>
        </is>
      </c>
      <c r="B9" s="5" t="inlineStr">
        <is>
          <t>D3</t>
        </is>
      </c>
      <c r="C9" s="5" t="inlineStr">
        <is>
          <t>外向度（进出口总额/GDP，%）</t>
        </is>
      </c>
      <c r="D9" s="5" t="inlineStr">
        <is>
          <t>正向</t>
        </is>
      </c>
      <c r="E9" s="5" t="n">
        <v>0</v>
      </c>
      <c r="F9" s="5">
        <f>'10_稳健性检验'!D56</f>
        <v/>
      </c>
      <c r="G9" s="9">
        <f>'1_基础数据'!C10/'1_基础数据'!C8*100</f>
        <v/>
      </c>
      <c r="H9" s="9">
        <f>'1_基础数据'!D10/'1_基础数据'!D8*100</f>
        <v/>
      </c>
      <c r="I9" s="9">
        <f>'1_基础数据'!E10/'1_基础数据'!E8*100</f>
        <v/>
      </c>
      <c r="J9" s="9">
        <f>'1_基础数据'!F10/'1_基础数据'!F8*100</f>
        <v/>
      </c>
      <c r="K9" s="9">
        <f>'1_基础数据'!G10/'1_基础数据'!G8*100</f>
        <v/>
      </c>
      <c r="L9" s="9">
        <f>'1_基础数据'!H10/'1_基础数据'!H8*100</f>
        <v/>
      </c>
      <c r="M9" s="9">
        <f>'1_基础数据'!I10/'1_基础数据'!I8*100</f>
        <v/>
      </c>
      <c r="N9" s="9">
        <f>'1_基础数据'!J10/'1_基础数据'!J8*100</f>
        <v/>
      </c>
      <c r="O9" s="9">
        <f>'1_基础数据'!K10/'1_基础数据'!K8*100</f>
        <v/>
      </c>
      <c r="P9" s="9">
        <f>'1_基础数据'!L10/'1_基础数据'!L8*100</f>
        <v/>
      </c>
    </row>
    <row r="10">
      <c r="A10" s="5" t="inlineStr">
        <is>
          <t>发展 D</t>
        </is>
      </c>
      <c r="B10" s="5" t="inlineStr">
        <is>
          <t>D4</t>
        </is>
      </c>
      <c r="C10" s="5" t="inlineStr">
        <is>
          <t>人均接待游客（万人次/万人）</t>
        </is>
      </c>
      <c r="D10" s="5" t="inlineStr">
        <is>
          <t>正向</t>
        </is>
      </c>
      <c r="E10" s="5" t="n">
        <v>0</v>
      </c>
      <c r="F10" s="5">
        <f>'10_稳健性检验'!D57</f>
        <v/>
      </c>
      <c r="G10" s="9">
        <f>'1_基础数据'!C11/'1_基础数据'!C19</f>
        <v/>
      </c>
      <c r="H10" s="9">
        <f>'1_基础数据'!D11/'1_基础数据'!D19</f>
        <v/>
      </c>
      <c r="I10" s="9">
        <f>'1_基础数据'!E11/'1_基础数据'!E19</f>
        <v/>
      </c>
      <c r="J10" s="9">
        <f>'1_基础数据'!F11/'1_基础数据'!F19</f>
        <v/>
      </c>
      <c r="K10" s="9">
        <f>'1_基础数据'!G11/'1_基础数据'!G19</f>
        <v/>
      </c>
      <c r="L10" s="9">
        <f>'1_基础数据'!H11/'1_基础数据'!H19</f>
        <v/>
      </c>
      <c r="M10" s="9">
        <f>'1_基础数据'!I11/'1_基础数据'!I19</f>
        <v/>
      </c>
      <c r="N10" s="9">
        <f>'1_基础数据'!J11/'1_基础数据'!J19</f>
        <v/>
      </c>
      <c r="O10" s="9">
        <f>'1_基础数据'!K11/'1_基础数据'!K19</f>
        <v/>
      </c>
      <c r="P10" s="9">
        <f>'1_基础数据'!L11/'1_基础数据'!L19</f>
        <v/>
      </c>
    </row>
    <row r="11">
      <c r="A11" s="5" t="inlineStr">
        <is>
          <t>发展 D</t>
        </is>
      </c>
      <c r="B11" s="5" t="inlineStr">
        <is>
          <t>D5</t>
        </is>
      </c>
      <c r="C11" s="5" t="inlineStr">
        <is>
          <t>发电量（亿千瓦时）</t>
        </is>
      </c>
      <c r="D11" s="5" t="inlineStr">
        <is>
          <t>正向</t>
        </is>
      </c>
      <c r="E11" s="5" t="n">
        <v>0</v>
      </c>
      <c r="F11" s="5">
        <f>'10_稳健性检验'!D58</f>
        <v/>
      </c>
      <c r="G11" s="9">
        <f>'1_基础数据'!C12</f>
        <v/>
      </c>
      <c r="H11" s="9">
        <f>'1_基础数据'!D12</f>
        <v/>
      </c>
      <c r="I11" s="9">
        <f>'1_基础数据'!E12</f>
        <v/>
      </c>
      <c r="J11" s="9">
        <f>'1_基础数据'!F12</f>
        <v/>
      </c>
      <c r="K11" s="9">
        <f>'1_基础数据'!G12</f>
        <v/>
      </c>
      <c r="L11" s="9">
        <f>'1_基础数据'!H12</f>
        <v/>
      </c>
      <c r="M11" s="9">
        <f>'1_基础数据'!I12</f>
        <v/>
      </c>
      <c r="N11" s="9">
        <f>'1_基础数据'!J12</f>
        <v/>
      </c>
      <c r="O11" s="9">
        <f>'1_基础数据'!K12</f>
        <v/>
      </c>
      <c r="P11" s="9">
        <f>'1_基础数据'!L12</f>
        <v/>
      </c>
    </row>
    <row r="12">
      <c r="A12" s="5" t="inlineStr">
        <is>
          <t>生态 E</t>
        </is>
      </c>
      <c r="B12" s="5" t="inlineStr">
        <is>
          <t>E1</t>
        </is>
      </c>
      <c r="C12" s="5" t="inlineStr">
        <is>
          <t>单位GDP能耗指数</t>
        </is>
      </c>
      <c r="D12" s="5" t="inlineStr">
        <is>
          <t>逆向</t>
        </is>
      </c>
      <c r="E12" s="5" t="n">
        <v>60</v>
      </c>
      <c r="F12" s="5" t="n">
        <v>100</v>
      </c>
      <c r="G12" s="9">
        <f>'1_基础数据'!C13</f>
        <v/>
      </c>
      <c r="H12" s="9">
        <f>'1_基础数据'!D13</f>
        <v/>
      </c>
      <c r="I12" s="9">
        <f>'1_基础数据'!E13</f>
        <v/>
      </c>
      <c r="J12" s="9">
        <f>'1_基础数据'!F13</f>
        <v/>
      </c>
      <c r="K12" s="9">
        <f>'1_基础数据'!G13</f>
        <v/>
      </c>
      <c r="L12" s="9">
        <f>'1_基础数据'!H13</f>
        <v/>
      </c>
      <c r="M12" s="9">
        <f>'1_基础数据'!I13</f>
        <v/>
      </c>
      <c r="N12" s="9">
        <f>'1_基础数据'!J13</f>
        <v/>
      </c>
      <c r="O12" s="9">
        <f>'1_基础数据'!K13</f>
        <v/>
      </c>
      <c r="P12" s="9">
        <f>'1_基础数据'!L13</f>
        <v/>
      </c>
    </row>
    <row r="13">
      <c r="A13" s="5" t="inlineStr">
        <is>
          <t>生态 E</t>
        </is>
      </c>
      <c r="B13" s="5" t="inlineStr">
        <is>
          <t>E2</t>
        </is>
      </c>
      <c r="C13" s="5" t="inlineStr">
        <is>
          <t>森林覆盖率（%）</t>
        </is>
      </c>
      <c r="D13" s="5" t="inlineStr">
        <is>
          <t>正向</t>
        </is>
      </c>
      <c r="E13" s="5" t="n">
        <v>11.98</v>
      </c>
      <c r="F13" s="5" t="n">
        <v>12.51</v>
      </c>
      <c r="G13" s="9">
        <f>'1_基础数据'!C14</f>
        <v/>
      </c>
      <c r="H13" s="9">
        <f>'1_基础数据'!D14</f>
        <v/>
      </c>
      <c r="I13" s="9">
        <f>'1_基础数据'!E14</f>
        <v/>
      </c>
      <c r="J13" s="9">
        <f>'1_基础数据'!F14</f>
        <v/>
      </c>
      <c r="K13" s="9">
        <f>'1_基础数据'!G14</f>
        <v/>
      </c>
      <c r="L13" s="9">
        <f>'1_基础数据'!H14</f>
        <v/>
      </c>
      <c r="M13" s="9">
        <f>'1_基础数据'!I14</f>
        <v/>
      </c>
      <c r="N13" s="9">
        <f>'1_基础数据'!J14</f>
        <v/>
      </c>
      <c r="O13" s="9">
        <f>'1_基础数据'!K14</f>
        <v/>
      </c>
      <c r="P13" s="9">
        <f>'1_基础数据'!L14</f>
        <v/>
      </c>
    </row>
    <row r="14">
      <c r="A14" s="5" t="inlineStr">
        <is>
          <t>生态 E</t>
        </is>
      </c>
      <c r="B14" s="5" t="inlineStr">
        <is>
          <t>E3</t>
        </is>
      </c>
      <c r="C14" s="5" t="inlineStr">
        <is>
          <t>空气质量优良天数比例（%）</t>
        </is>
      </c>
      <c r="D14" s="5" t="inlineStr">
        <is>
          <t>正向</t>
        </is>
      </c>
      <c r="E14" s="5" t="n">
        <v>0</v>
      </c>
      <c r="F14" s="5" t="n">
        <v>100</v>
      </c>
      <c r="G14" s="9">
        <f>'1_基础数据'!C15</f>
        <v/>
      </c>
      <c r="H14" s="9">
        <f>'1_基础数据'!D15</f>
        <v/>
      </c>
      <c r="I14" s="9">
        <f>'1_基础数据'!E15</f>
        <v/>
      </c>
      <c r="J14" s="9">
        <f>'1_基础数据'!F15</f>
        <v/>
      </c>
      <c r="K14" s="9">
        <f>'1_基础数据'!G15</f>
        <v/>
      </c>
      <c r="L14" s="9">
        <f>'1_基础数据'!H15</f>
        <v/>
      </c>
      <c r="M14" s="9">
        <f>'1_基础数据'!I15</f>
        <v/>
      </c>
      <c r="N14" s="9">
        <f>'1_基础数据'!J15</f>
        <v/>
      </c>
      <c r="O14" s="9">
        <f>'1_基础数据'!K15</f>
        <v/>
      </c>
      <c r="P14" s="9">
        <f>'1_基础数据'!L15</f>
        <v/>
      </c>
    </row>
    <row r="15">
      <c r="A15" s="5" t="inlineStr">
        <is>
          <t>生态 E</t>
        </is>
      </c>
      <c r="B15" s="5" t="inlineStr">
        <is>
          <t>E4</t>
        </is>
      </c>
      <c r="C15" s="5" t="inlineStr">
        <is>
          <t>草原综合植被盖度（%）</t>
        </is>
      </c>
      <c r="D15" s="5" t="inlineStr">
        <is>
          <t>正向</t>
        </is>
      </c>
      <c r="E15" s="5" t="n">
        <v>42.3</v>
      </c>
      <c r="F15" s="5" t="n">
        <v>50</v>
      </c>
      <c r="G15" s="9">
        <f>'1_基础数据'!C16</f>
        <v/>
      </c>
      <c r="H15" s="9">
        <f>'1_基础数据'!D16</f>
        <v/>
      </c>
      <c r="I15" s="9">
        <f>'1_基础数据'!E16</f>
        <v/>
      </c>
      <c r="J15" s="9">
        <f>'1_基础数据'!F16</f>
        <v/>
      </c>
      <c r="K15" s="9">
        <f>'1_基础数据'!G16</f>
        <v/>
      </c>
      <c r="L15" s="9">
        <f>'1_基础数据'!H16</f>
        <v/>
      </c>
      <c r="M15" s="9">
        <f>'1_基础数据'!I16</f>
        <v/>
      </c>
      <c r="N15" s="9">
        <f>'1_基础数据'!J16</f>
        <v/>
      </c>
      <c r="O15" s="9">
        <f>'1_基础数据'!K16</f>
        <v/>
      </c>
      <c r="P15" s="9">
        <f>'1_基础数据'!L16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7" customWidth="1" min="2" max="2"/>
    <col width="34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3" t="inlineStr">
        <is>
          <t>固定基准标准化：式(1)正向 / 式(2)逆向，超出[0,1]截断；式(3) x' = 0.98·x* + 0.01</t>
        </is>
      </c>
    </row>
    <row r="2">
      <c r="A2" s="4" t="inlineStr">
        <is>
          <t>子系统</t>
        </is>
      </c>
      <c r="B2" s="4" t="inlineStr">
        <is>
          <t>编码</t>
        </is>
      </c>
      <c r="C2" s="4" t="inlineStr">
        <is>
          <t>三级指标</t>
        </is>
      </c>
      <c r="D2" s="4" t="inlineStr">
        <is>
          <t>方向</t>
        </is>
      </c>
      <c r="E2" s="4" t="inlineStr">
        <is>
          <t>2016</t>
        </is>
      </c>
      <c r="F2" s="4" t="inlineStr">
        <is>
          <t>2017</t>
        </is>
      </c>
      <c r="G2" s="4" t="inlineStr">
        <is>
          <t>2018</t>
        </is>
      </c>
      <c r="H2" s="4" t="inlineStr">
        <is>
          <t>2019</t>
        </is>
      </c>
      <c r="I2" s="4" t="inlineStr">
        <is>
          <t>2020</t>
        </is>
      </c>
      <c r="J2" s="4" t="inlineStr">
        <is>
          <t>2021</t>
        </is>
      </c>
      <c r="K2" s="4" t="inlineStr">
        <is>
          <t>2022</t>
        </is>
      </c>
      <c r="L2" s="4" t="inlineStr">
        <is>
          <t>2023</t>
        </is>
      </c>
      <c r="M2" s="4" t="inlineStr">
        <is>
          <t>2024</t>
        </is>
      </c>
      <c r="N2" s="4" t="inlineStr">
        <is>
          <t>2025</t>
        </is>
      </c>
    </row>
    <row r="3">
      <c r="A3" s="5" t="inlineStr">
        <is>
          <t>安全 S</t>
        </is>
      </c>
      <c r="B3" s="5" t="inlineStr">
        <is>
          <t>S1</t>
        </is>
      </c>
      <c r="C3" s="7">
        <f>0.98*MIN(1,MAX(0,('2_指标值'!G3-'2_指标值'!$E3)/('2_指标值'!$F3-'2_指标值'!$E3)))+0.01</f>
        <v/>
      </c>
      <c r="D3" s="7">
        <f>0.98*MIN(1,MAX(0,('2_指标值'!H3-'2_指标值'!$E3)/('2_指标值'!$F3-'2_指标值'!$E3)))+0.01</f>
        <v/>
      </c>
      <c r="E3" s="7">
        <f>0.98*MIN(1,MAX(0,('2_指标值'!I3-'2_指标值'!$E3)/('2_指标值'!$F3-'2_指标值'!$E3)))+0.01</f>
        <v/>
      </c>
      <c r="F3" s="7">
        <f>0.98*MIN(1,MAX(0,('2_指标值'!J3-'2_指标值'!$E3)/('2_指标值'!$F3-'2_指标值'!$E3)))+0.01</f>
        <v/>
      </c>
      <c r="G3" s="7">
        <f>0.98*MIN(1,MAX(0,('2_指标值'!K3-'2_指标值'!$E3)/('2_指标值'!$F3-'2_指标值'!$E3)))+0.01</f>
        <v/>
      </c>
      <c r="H3" s="7">
        <f>0.98*MIN(1,MAX(0,('2_指标值'!L3-'2_指标值'!$E3)/('2_指标值'!$F3-'2_指标值'!$E3)))+0.01</f>
        <v/>
      </c>
      <c r="I3" s="7">
        <f>0.98*MIN(1,MAX(0,('2_指标值'!M3-'2_指标值'!$E3)/('2_指标值'!$F3-'2_指标值'!$E3)))+0.01</f>
        <v/>
      </c>
      <c r="J3" s="7">
        <f>0.98*MIN(1,MAX(0,('2_指标值'!N3-'2_指标值'!$E3)/('2_指标值'!$F3-'2_指标值'!$E3)))+0.01</f>
        <v/>
      </c>
      <c r="K3" s="7">
        <f>0.98*MIN(1,MAX(0,('2_指标值'!O3-'2_指标值'!$E3)/('2_指标值'!$F3-'2_指标值'!$E3)))+0.01</f>
        <v/>
      </c>
      <c r="L3" s="7">
        <f>0.98*MIN(1,MAX(0,('2_指标值'!P3-'2_指标值'!$E3)/('2_指标值'!$F3-'2_指标值'!$E3)))+0.01</f>
        <v/>
      </c>
    </row>
    <row r="4">
      <c r="A4" s="5" t="inlineStr">
        <is>
          <t>安全 S</t>
        </is>
      </c>
      <c r="B4" s="5" t="inlineStr">
        <is>
          <t>S2</t>
        </is>
      </c>
      <c r="C4" s="7">
        <f>0.98*MIN(1,MAX(0,('2_指标值'!$F4-'2_指标值'!G4)/('2_指标值'!$F4-'2_指标值'!$E4)))+0.01</f>
        <v/>
      </c>
      <c r="D4" s="7">
        <f>0.98*MIN(1,MAX(0,('2_指标值'!$F4-'2_指标值'!H4)/('2_指标值'!$F4-'2_指标值'!$E4)))+0.01</f>
        <v/>
      </c>
      <c r="E4" s="7">
        <f>0.98*MIN(1,MAX(0,('2_指标值'!$F4-'2_指标值'!I4)/('2_指标值'!$F4-'2_指标值'!$E4)))+0.01</f>
        <v/>
      </c>
      <c r="F4" s="7">
        <f>0.98*MIN(1,MAX(0,('2_指标值'!$F4-'2_指标值'!J4)/('2_指标值'!$F4-'2_指标值'!$E4)))+0.01</f>
        <v/>
      </c>
      <c r="G4" s="7">
        <f>0.98*MIN(1,MAX(0,('2_指标值'!$F4-'2_指标值'!K4)/('2_指标值'!$F4-'2_指标值'!$E4)))+0.01</f>
        <v/>
      </c>
      <c r="H4" s="7">
        <f>0.98*MIN(1,MAX(0,('2_指标值'!$F4-'2_指标值'!L4)/('2_指标值'!$F4-'2_指标值'!$E4)))+0.01</f>
        <v/>
      </c>
      <c r="I4" s="7">
        <f>0.98*MIN(1,MAX(0,('2_指标值'!$F4-'2_指标值'!M4)/('2_指标值'!$F4-'2_指标值'!$E4)))+0.01</f>
        <v/>
      </c>
      <c r="J4" s="7">
        <f>0.98*MIN(1,MAX(0,('2_指标值'!$F4-'2_指标值'!N4)/('2_指标值'!$F4-'2_指标值'!$E4)))+0.01</f>
        <v/>
      </c>
      <c r="K4" s="7">
        <f>0.98*MIN(1,MAX(0,('2_指标值'!$F4-'2_指标值'!O4)/('2_指标值'!$F4-'2_指标值'!$E4)))+0.01</f>
        <v/>
      </c>
      <c r="L4" s="7">
        <f>0.98*MIN(1,MAX(0,('2_指标值'!$F4-'2_指标值'!P4)/('2_指标值'!$F4-'2_指标值'!$E4)))+0.01</f>
        <v/>
      </c>
    </row>
    <row r="5">
      <c r="A5" s="5" t="inlineStr">
        <is>
          <t>安全 S</t>
        </is>
      </c>
      <c r="B5" s="5" t="inlineStr">
        <is>
          <t>S3</t>
        </is>
      </c>
      <c r="C5" s="7">
        <f>0.98*MIN(1,MAX(0,('2_指标值'!G5-'2_指标值'!$E5)/('2_指标值'!$F5-'2_指标值'!$E5)))+0.01</f>
        <v/>
      </c>
      <c r="D5" s="7">
        <f>0.98*MIN(1,MAX(0,('2_指标值'!H5-'2_指标值'!$E5)/('2_指标值'!$F5-'2_指标值'!$E5)))+0.01</f>
        <v/>
      </c>
      <c r="E5" s="7">
        <f>0.98*MIN(1,MAX(0,('2_指标值'!I5-'2_指标值'!$E5)/('2_指标值'!$F5-'2_指标值'!$E5)))+0.01</f>
        <v/>
      </c>
      <c r="F5" s="7">
        <f>0.98*MIN(1,MAX(0,('2_指标值'!J5-'2_指标值'!$E5)/('2_指标值'!$F5-'2_指标值'!$E5)))+0.01</f>
        <v/>
      </c>
      <c r="G5" s="7">
        <f>0.98*MIN(1,MAX(0,('2_指标值'!K5-'2_指标值'!$E5)/('2_指标值'!$F5-'2_指标值'!$E5)))+0.01</f>
        <v/>
      </c>
      <c r="H5" s="7">
        <f>0.98*MIN(1,MAX(0,('2_指标值'!L5-'2_指标值'!$E5)/('2_指标值'!$F5-'2_指标值'!$E5)))+0.01</f>
        <v/>
      </c>
      <c r="I5" s="7">
        <f>0.98*MIN(1,MAX(0,('2_指标值'!M5-'2_指标值'!$E5)/('2_指标值'!$F5-'2_指标值'!$E5)))+0.01</f>
        <v/>
      </c>
      <c r="J5" s="7">
        <f>0.98*MIN(1,MAX(0,('2_指标值'!N5-'2_指标值'!$E5)/('2_指标值'!$F5-'2_指标值'!$E5)))+0.01</f>
        <v/>
      </c>
      <c r="K5" s="7">
        <f>0.98*MIN(1,MAX(0,('2_指标值'!O5-'2_指标值'!$E5)/('2_指标值'!$F5-'2_指标值'!$E5)))+0.01</f>
        <v/>
      </c>
      <c r="L5" s="7">
        <f>0.98*MIN(1,MAX(0,('2_指标值'!P5-'2_指标值'!$E5)/('2_指标值'!$F5-'2_指标值'!$E5)))+0.01</f>
        <v/>
      </c>
    </row>
    <row r="6">
      <c r="A6" s="5" t="inlineStr">
        <is>
          <t>安全 S</t>
        </is>
      </c>
      <c r="B6" s="5" t="inlineStr">
        <is>
          <t>S4</t>
        </is>
      </c>
      <c r="C6" s="7">
        <f>0.98*MIN(1,MAX(0,('2_指标值'!G6-'2_指标值'!$E6)/('2_指标值'!$F6-'2_指标值'!$E6)))+0.01</f>
        <v/>
      </c>
      <c r="D6" s="7">
        <f>0.98*MIN(1,MAX(0,('2_指标值'!H6-'2_指标值'!$E6)/('2_指标值'!$F6-'2_指标值'!$E6)))+0.01</f>
        <v/>
      </c>
      <c r="E6" s="7">
        <f>0.98*MIN(1,MAX(0,('2_指标值'!I6-'2_指标值'!$E6)/('2_指标值'!$F6-'2_指标值'!$E6)))+0.01</f>
        <v/>
      </c>
      <c r="F6" s="7">
        <f>0.98*MIN(1,MAX(0,('2_指标值'!J6-'2_指标值'!$E6)/('2_指标值'!$F6-'2_指标值'!$E6)))+0.01</f>
        <v/>
      </c>
      <c r="G6" s="7">
        <f>0.98*MIN(1,MAX(0,('2_指标值'!K6-'2_指标值'!$E6)/('2_指标值'!$F6-'2_指标值'!$E6)))+0.01</f>
        <v/>
      </c>
      <c r="H6" s="7">
        <f>0.98*MIN(1,MAX(0,('2_指标值'!L6-'2_指标值'!$E6)/('2_指标值'!$F6-'2_指标值'!$E6)))+0.01</f>
        <v/>
      </c>
      <c r="I6" s="7">
        <f>0.98*MIN(1,MAX(0,('2_指标值'!M6-'2_指标值'!$E6)/('2_指标值'!$F6-'2_指标值'!$E6)))+0.01</f>
        <v/>
      </c>
      <c r="J6" s="7">
        <f>0.98*MIN(1,MAX(0,('2_指标值'!N6-'2_指标值'!$E6)/('2_指标值'!$F6-'2_指标值'!$E6)))+0.01</f>
        <v/>
      </c>
      <c r="K6" s="7">
        <f>0.98*MIN(1,MAX(0,('2_指标值'!O6-'2_指标值'!$E6)/('2_指标值'!$F6-'2_指标值'!$E6)))+0.01</f>
        <v/>
      </c>
      <c r="L6" s="7">
        <f>0.98*MIN(1,MAX(0,('2_指标值'!P6-'2_指标值'!$E6)/('2_指标值'!$F6-'2_指标值'!$E6)))+0.01</f>
        <v/>
      </c>
    </row>
    <row r="7">
      <c r="A7" s="5" t="inlineStr">
        <is>
          <t>发展 D</t>
        </is>
      </c>
      <c r="B7" s="5" t="inlineStr">
        <is>
          <t>D1</t>
        </is>
      </c>
      <c r="C7" s="7">
        <f>0.98*MIN(1,MAX(0,('2_指标值'!G7-'2_指标值'!$E7)/('2_指标值'!$F7-'2_指标值'!$E7)))+0.01</f>
        <v/>
      </c>
      <c r="D7" s="7">
        <f>0.98*MIN(1,MAX(0,('2_指标值'!H7-'2_指标值'!$E7)/('2_指标值'!$F7-'2_指标值'!$E7)))+0.01</f>
        <v/>
      </c>
      <c r="E7" s="7">
        <f>0.98*MIN(1,MAX(0,('2_指标值'!I7-'2_指标值'!$E7)/('2_指标值'!$F7-'2_指标值'!$E7)))+0.01</f>
        <v/>
      </c>
      <c r="F7" s="7">
        <f>0.98*MIN(1,MAX(0,('2_指标值'!J7-'2_指标值'!$E7)/('2_指标值'!$F7-'2_指标值'!$E7)))+0.01</f>
        <v/>
      </c>
      <c r="G7" s="7">
        <f>0.98*MIN(1,MAX(0,('2_指标值'!K7-'2_指标值'!$E7)/('2_指标值'!$F7-'2_指标值'!$E7)))+0.01</f>
        <v/>
      </c>
      <c r="H7" s="7">
        <f>0.98*MIN(1,MAX(0,('2_指标值'!L7-'2_指标值'!$E7)/('2_指标值'!$F7-'2_指标值'!$E7)))+0.01</f>
        <v/>
      </c>
      <c r="I7" s="7">
        <f>0.98*MIN(1,MAX(0,('2_指标值'!M7-'2_指标值'!$E7)/('2_指标值'!$F7-'2_指标值'!$E7)))+0.01</f>
        <v/>
      </c>
      <c r="J7" s="7">
        <f>0.98*MIN(1,MAX(0,('2_指标值'!N7-'2_指标值'!$E7)/('2_指标值'!$F7-'2_指标值'!$E7)))+0.01</f>
        <v/>
      </c>
      <c r="K7" s="7">
        <f>0.98*MIN(1,MAX(0,('2_指标值'!O7-'2_指标值'!$E7)/('2_指标值'!$F7-'2_指标值'!$E7)))+0.01</f>
        <v/>
      </c>
      <c r="L7" s="7">
        <f>0.98*MIN(1,MAX(0,('2_指标值'!P7-'2_指标值'!$E7)/('2_指标值'!$F7-'2_指标值'!$E7)))+0.01</f>
        <v/>
      </c>
    </row>
    <row r="8">
      <c r="A8" s="5" t="inlineStr">
        <is>
          <t>发展 D</t>
        </is>
      </c>
      <c r="B8" s="5" t="inlineStr">
        <is>
          <t>D2</t>
        </is>
      </c>
      <c r="C8" s="7">
        <f>0.98*MIN(1,MAX(0,('2_指标值'!G8-'2_指标值'!$E8)/('2_指标值'!$F8-'2_指标值'!$E8)))+0.01</f>
        <v/>
      </c>
      <c r="D8" s="7">
        <f>0.98*MIN(1,MAX(0,('2_指标值'!H8-'2_指标值'!$E8)/('2_指标值'!$F8-'2_指标值'!$E8)))+0.01</f>
        <v/>
      </c>
      <c r="E8" s="7">
        <f>0.98*MIN(1,MAX(0,('2_指标值'!I8-'2_指标值'!$E8)/('2_指标值'!$F8-'2_指标值'!$E8)))+0.01</f>
        <v/>
      </c>
      <c r="F8" s="7">
        <f>0.98*MIN(1,MAX(0,('2_指标值'!J8-'2_指标值'!$E8)/('2_指标值'!$F8-'2_指标值'!$E8)))+0.01</f>
        <v/>
      </c>
      <c r="G8" s="7">
        <f>0.98*MIN(1,MAX(0,('2_指标值'!K8-'2_指标值'!$E8)/('2_指标值'!$F8-'2_指标值'!$E8)))+0.01</f>
        <v/>
      </c>
      <c r="H8" s="7">
        <f>0.98*MIN(1,MAX(0,('2_指标值'!L8-'2_指标值'!$E8)/('2_指标值'!$F8-'2_指标值'!$E8)))+0.01</f>
        <v/>
      </c>
      <c r="I8" s="7">
        <f>0.98*MIN(1,MAX(0,('2_指标值'!M8-'2_指标值'!$E8)/('2_指标值'!$F8-'2_指标值'!$E8)))+0.01</f>
        <v/>
      </c>
      <c r="J8" s="7">
        <f>0.98*MIN(1,MAX(0,('2_指标值'!N8-'2_指标值'!$E8)/('2_指标值'!$F8-'2_指标值'!$E8)))+0.01</f>
        <v/>
      </c>
      <c r="K8" s="7">
        <f>0.98*MIN(1,MAX(0,('2_指标值'!O8-'2_指标值'!$E8)/('2_指标值'!$F8-'2_指标值'!$E8)))+0.01</f>
        <v/>
      </c>
      <c r="L8" s="7">
        <f>0.98*MIN(1,MAX(0,('2_指标值'!P8-'2_指标值'!$E8)/('2_指标值'!$F8-'2_指标值'!$E8)))+0.01</f>
        <v/>
      </c>
    </row>
    <row r="9">
      <c r="A9" s="5" t="inlineStr">
        <is>
          <t>发展 D</t>
        </is>
      </c>
      <c r="B9" s="5" t="inlineStr">
        <is>
          <t>D3</t>
        </is>
      </c>
      <c r="C9" s="7">
        <f>0.98*MIN(1,MAX(0,('2_指标值'!G9-'2_指标值'!$E9)/('2_指标值'!$F9-'2_指标值'!$E9)))+0.01</f>
        <v/>
      </c>
      <c r="D9" s="7">
        <f>0.98*MIN(1,MAX(0,('2_指标值'!H9-'2_指标值'!$E9)/('2_指标值'!$F9-'2_指标值'!$E9)))+0.01</f>
        <v/>
      </c>
      <c r="E9" s="7">
        <f>0.98*MIN(1,MAX(0,('2_指标值'!I9-'2_指标值'!$E9)/('2_指标值'!$F9-'2_指标值'!$E9)))+0.01</f>
        <v/>
      </c>
      <c r="F9" s="7">
        <f>0.98*MIN(1,MAX(0,('2_指标值'!J9-'2_指标值'!$E9)/('2_指标值'!$F9-'2_指标值'!$E9)))+0.01</f>
        <v/>
      </c>
      <c r="G9" s="7">
        <f>0.98*MIN(1,MAX(0,('2_指标值'!K9-'2_指标值'!$E9)/('2_指标值'!$F9-'2_指标值'!$E9)))+0.01</f>
        <v/>
      </c>
      <c r="H9" s="7">
        <f>0.98*MIN(1,MAX(0,('2_指标值'!L9-'2_指标值'!$E9)/('2_指标值'!$F9-'2_指标值'!$E9)))+0.01</f>
        <v/>
      </c>
      <c r="I9" s="7">
        <f>0.98*MIN(1,MAX(0,('2_指标值'!M9-'2_指标值'!$E9)/('2_指标值'!$F9-'2_指标值'!$E9)))+0.01</f>
        <v/>
      </c>
      <c r="J9" s="7">
        <f>0.98*MIN(1,MAX(0,('2_指标值'!N9-'2_指标值'!$E9)/('2_指标值'!$F9-'2_指标值'!$E9)))+0.01</f>
        <v/>
      </c>
      <c r="K9" s="7">
        <f>0.98*MIN(1,MAX(0,('2_指标值'!O9-'2_指标值'!$E9)/('2_指标值'!$F9-'2_指标值'!$E9)))+0.01</f>
        <v/>
      </c>
      <c r="L9" s="7">
        <f>0.98*MIN(1,MAX(0,('2_指标值'!P9-'2_指标值'!$E9)/('2_指标值'!$F9-'2_指标值'!$E9)))+0.01</f>
        <v/>
      </c>
    </row>
    <row r="10">
      <c r="A10" s="5" t="inlineStr">
        <is>
          <t>发展 D</t>
        </is>
      </c>
      <c r="B10" s="5" t="inlineStr">
        <is>
          <t>D4</t>
        </is>
      </c>
      <c r="C10" s="7">
        <f>0.98*MIN(1,MAX(0,('2_指标值'!G10-'2_指标值'!$E10)/('2_指标值'!$F10-'2_指标值'!$E10)))+0.01</f>
        <v/>
      </c>
      <c r="D10" s="7">
        <f>0.98*MIN(1,MAX(0,('2_指标值'!H10-'2_指标值'!$E10)/('2_指标值'!$F10-'2_指标值'!$E10)))+0.01</f>
        <v/>
      </c>
      <c r="E10" s="7">
        <f>0.98*MIN(1,MAX(0,('2_指标值'!I10-'2_指标值'!$E10)/('2_指标值'!$F10-'2_指标值'!$E10)))+0.01</f>
        <v/>
      </c>
      <c r="F10" s="7">
        <f>0.98*MIN(1,MAX(0,('2_指标值'!J10-'2_指标值'!$E10)/('2_指标值'!$F10-'2_指标值'!$E10)))+0.01</f>
        <v/>
      </c>
      <c r="G10" s="7">
        <f>0.98*MIN(1,MAX(0,('2_指标值'!K10-'2_指标值'!$E10)/('2_指标值'!$F10-'2_指标值'!$E10)))+0.01</f>
        <v/>
      </c>
      <c r="H10" s="7">
        <f>0.98*MIN(1,MAX(0,('2_指标值'!L10-'2_指标值'!$E10)/('2_指标值'!$F10-'2_指标值'!$E10)))+0.01</f>
        <v/>
      </c>
      <c r="I10" s="7">
        <f>0.98*MIN(1,MAX(0,('2_指标值'!M10-'2_指标值'!$E10)/('2_指标值'!$F10-'2_指标值'!$E10)))+0.01</f>
        <v/>
      </c>
      <c r="J10" s="7">
        <f>0.98*MIN(1,MAX(0,('2_指标值'!N10-'2_指标值'!$E10)/('2_指标值'!$F10-'2_指标值'!$E10)))+0.01</f>
        <v/>
      </c>
      <c r="K10" s="7">
        <f>0.98*MIN(1,MAX(0,('2_指标值'!O10-'2_指标值'!$E10)/('2_指标值'!$F10-'2_指标值'!$E10)))+0.01</f>
        <v/>
      </c>
      <c r="L10" s="7">
        <f>0.98*MIN(1,MAX(0,('2_指标值'!P10-'2_指标值'!$E10)/('2_指标值'!$F10-'2_指标值'!$E10)))+0.01</f>
        <v/>
      </c>
    </row>
    <row r="11">
      <c r="A11" s="5" t="inlineStr">
        <is>
          <t>发展 D</t>
        </is>
      </c>
      <c r="B11" s="5" t="inlineStr">
        <is>
          <t>D5</t>
        </is>
      </c>
      <c r="C11" s="7">
        <f>0.98*MIN(1,MAX(0,('2_指标值'!G11-'2_指标值'!$E11)/('2_指标值'!$F11-'2_指标值'!$E11)))+0.01</f>
        <v/>
      </c>
      <c r="D11" s="7">
        <f>0.98*MIN(1,MAX(0,('2_指标值'!H11-'2_指标值'!$E11)/('2_指标值'!$F11-'2_指标值'!$E11)))+0.01</f>
        <v/>
      </c>
      <c r="E11" s="7">
        <f>0.98*MIN(1,MAX(0,('2_指标值'!I11-'2_指标值'!$E11)/('2_指标值'!$F11-'2_指标值'!$E11)))+0.01</f>
        <v/>
      </c>
      <c r="F11" s="7">
        <f>0.98*MIN(1,MAX(0,('2_指标值'!J11-'2_指标值'!$E11)/('2_指标值'!$F11-'2_指标值'!$E11)))+0.01</f>
        <v/>
      </c>
      <c r="G11" s="7">
        <f>0.98*MIN(1,MAX(0,('2_指标值'!K11-'2_指标值'!$E11)/('2_指标值'!$F11-'2_指标值'!$E11)))+0.01</f>
        <v/>
      </c>
      <c r="H11" s="7">
        <f>0.98*MIN(1,MAX(0,('2_指标值'!L11-'2_指标值'!$E11)/('2_指标值'!$F11-'2_指标值'!$E11)))+0.01</f>
        <v/>
      </c>
      <c r="I11" s="7">
        <f>0.98*MIN(1,MAX(0,('2_指标值'!M11-'2_指标值'!$E11)/('2_指标值'!$F11-'2_指标值'!$E11)))+0.01</f>
        <v/>
      </c>
      <c r="J11" s="7">
        <f>0.98*MIN(1,MAX(0,('2_指标值'!N11-'2_指标值'!$E11)/('2_指标值'!$F11-'2_指标值'!$E11)))+0.01</f>
        <v/>
      </c>
      <c r="K11" s="7">
        <f>0.98*MIN(1,MAX(0,('2_指标值'!O11-'2_指标值'!$E11)/('2_指标值'!$F11-'2_指标值'!$E11)))+0.01</f>
        <v/>
      </c>
      <c r="L11" s="7">
        <f>0.98*MIN(1,MAX(0,('2_指标值'!P11-'2_指标值'!$E11)/('2_指标值'!$F11-'2_指标值'!$E11)))+0.01</f>
        <v/>
      </c>
    </row>
    <row r="12">
      <c r="A12" s="5" t="inlineStr">
        <is>
          <t>生态 E</t>
        </is>
      </c>
      <c r="B12" s="5" t="inlineStr">
        <is>
          <t>E1</t>
        </is>
      </c>
      <c r="C12" s="7">
        <f>0.98*MIN(1,MAX(0,('2_指标值'!$F12-'2_指标值'!G12)/('2_指标值'!$F12-'2_指标值'!$E12)))+0.01</f>
        <v/>
      </c>
      <c r="D12" s="7">
        <f>0.98*MIN(1,MAX(0,('2_指标值'!$F12-'2_指标值'!H12)/('2_指标值'!$F12-'2_指标值'!$E12)))+0.01</f>
        <v/>
      </c>
      <c r="E12" s="7">
        <f>0.98*MIN(1,MAX(0,('2_指标值'!$F12-'2_指标值'!I12)/('2_指标值'!$F12-'2_指标值'!$E12)))+0.01</f>
        <v/>
      </c>
      <c r="F12" s="7">
        <f>0.98*MIN(1,MAX(0,('2_指标值'!$F12-'2_指标值'!J12)/('2_指标值'!$F12-'2_指标值'!$E12)))+0.01</f>
        <v/>
      </c>
      <c r="G12" s="7">
        <f>0.98*MIN(1,MAX(0,('2_指标值'!$F12-'2_指标值'!K12)/('2_指标值'!$F12-'2_指标值'!$E12)))+0.01</f>
        <v/>
      </c>
      <c r="H12" s="7">
        <f>0.98*MIN(1,MAX(0,('2_指标值'!$F12-'2_指标值'!L12)/('2_指标值'!$F12-'2_指标值'!$E12)))+0.01</f>
        <v/>
      </c>
      <c r="I12" s="7">
        <f>0.98*MIN(1,MAX(0,('2_指标值'!$F12-'2_指标值'!M12)/('2_指标值'!$F12-'2_指标值'!$E12)))+0.01</f>
        <v/>
      </c>
      <c r="J12" s="7">
        <f>0.98*MIN(1,MAX(0,('2_指标值'!$F12-'2_指标值'!N12)/('2_指标值'!$F12-'2_指标值'!$E12)))+0.01</f>
        <v/>
      </c>
      <c r="K12" s="7">
        <f>0.98*MIN(1,MAX(0,('2_指标值'!$F12-'2_指标值'!O12)/('2_指标值'!$F12-'2_指标值'!$E12)))+0.01</f>
        <v/>
      </c>
      <c r="L12" s="7">
        <f>0.98*MIN(1,MAX(0,('2_指标值'!$F12-'2_指标值'!P12)/('2_指标值'!$F12-'2_指标值'!$E12)))+0.01</f>
        <v/>
      </c>
    </row>
    <row r="13">
      <c r="A13" s="5" t="inlineStr">
        <is>
          <t>生态 E</t>
        </is>
      </c>
      <c r="B13" s="5" t="inlineStr">
        <is>
          <t>E2</t>
        </is>
      </c>
      <c r="C13" s="7">
        <f>0.98*MIN(1,MAX(0,('2_指标值'!G13-'2_指标值'!$E13)/('2_指标值'!$F13-'2_指标值'!$E13)))+0.01</f>
        <v/>
      </c>
      <c r="D13" s="7">
        <f>0.98*MIN(1,MAX(0,('2_指标值'!H13-'2_指标值'!$E13)/('2_指标值'!$F13-'2_指标值'!$E13)))+0.01</f>
        <v/>
      </c>
      <c r="E13" s="7">
        <f>0.98*MIN(1,MAX(0,('2_指标值'!I13-'2_指标值'!$E13)/('2_指标值'!$F13-'2_指标值'!$E13)))+0.01</f>
        <v/>
      </c>
      <c r="F13" s="7">
        <f>0.98*MIN(1,MAX(0,('2_指标值'!J13-'2_指标值'!$E13)/('2_指标值'!$F13-'2_指标值'!$E13)))+0.01</f>
        <v/>
      </c>
      <c r="G13" s="7">
        <f>0.98*MIN(1,MAX(0,('2_指标值'!K13-'2_指标值'!$E13)/('2_指标值'!$F13-'2_指标值'!$E13)))+0.01</f>
        <v/>
      </c>
      <c r="H13" s="7">
        <f>0.98*MIN(1,MAX(0,('2_指标值'!L13-'2_指标值'!$E13)/('2_指标值'!$F13-'2_指标值'!$E13)))+0.01</f>
        <v/>
      </c>
      <c r="I13" s="7">
        <f>0.98*MIN(1,MAX(0,('2_指标值'!M13-'2_指标值'!$E13)/('2_指标值'!$F13-'2_指标值'!$E13)))+0.01</f>
        <v/>
      </c>
      <c r="J13" s="7">
        <f>0.98*MIN(1,MAX(0,('2_指标值'!N13-'2_指标值'!$E13)/('2_指标值'!$F13-'2_指标值'!$E13)))+0.01</f>
        <v/>
      </c>
      <c r="K13" s="7">
        <f>0.98*MIN(1,MAX(0,('2_指标值'!O13-'2_指标值'!$E13)/('2_指标值'!$F13-'2_指标值'!$E13)))+0.01</f>
        <v/>
      </c>
      <c r="L13" s="7">
        <f>0.98*MIN(1,MAX(0,('2_指标值'!P13-'2_指标值'!$E13)/('2_指标值'!$F13-'2_指标值'!$E13)))+0.01</f>
        <v/>
      </c>
    </row>
    <row r="14">
      <c r="A14" s="5" t="inlineStr">
        <is>
          <t>生态 E</t>
        </is>
      </c>
      <c r="B14" s="5" t="inlineStr">
        <is>
          <t>E3</t>
        </is>
      </c>
      <c r="C14" s="7">
        <f>0.98*MIN(1,MAX(0,('2_指标值'!G14-'2_指标值'!$E14)/('2_指标值'!$F14-'2_指标值'!$E14)))+0.01</f>
        <v/>
      </c>
      <c r="D14" s="7">
        <f>0.98*MIN(1,MAX(0,('2_指标值'!H14-'2_指标值'!$E14)/('2_指标值'!$F14-'2_指标值'!$E14)))+0.01</f>
        <v/>
      </c>
      <c r="E14" s="7">
        <f>0.98*MIN(1,MAX(0,('2_指标值'!I14-'2_指标值'!$E14)/('2_指标值'!$F14-'2_指标值'!$E14)))+0.01</f>
        <v/>
      </c>
      <c r="F14" s="7">
        <f>0.98*MIN(1,MAX(0,('2_指标值'!J14-'2_指标值'!$E14)/('2_指标值'!$F14-'2_指标值'!$E14)))+0.01</f>
        <v/>
      </c>
      <c r="G14" s="7">
        <f>0.98*MIN(1,MAX(0,('2_指标值'!K14-'2_指标值'!$E14)/('2_指标值'!$F14-'2_指标值'!$E14)))+0.01</f>
        <v/>
      </c>
      <c r="H14" s="7">
        <f>0.98*MIN(1,MAX(0,('2_指标值'!L14-'2_指标值'!$E14)/('2_指标值'!$F14-'2_指标值'!$E14)))+0.01</f>
        <v/>
      </c>
      <c r="I14" s="7">
        <f>0.98*MIN(1,MAX(0,('2_指标值'!M14-'2_指标值'!$E14)/('2_指标值'!$F14-'2_指标值'!$E14)))+0.01</f>
        <v/>
      </c>
      <c r="J14" s="7">
        <f>0.98*MIN(1,MAX(0,('2_指标值'!N14-'2_指标值'!$E14)/('2_指标值'!$F14-'2_指标值'!$E14)))+0.01</f>
        <v/>
      </c>
      <c r="K14" s="7">
        <f>0.98*MIN(1,MAX(0,('2_指标值'!O14-'2_指标值'!$E14)/('2_指标值'!$F14-'2_指标值'!$E14)))+0.01</f>
        <v/>
      </c>
      <c r="L14" s="7">
        <f>0.98*MIN(1,MAX(0,('2_指标值'!P14-'2_指标值'!$E14)/('2_指标值'!$F14-'2_指标值'!$E14)))+0.01</f>
        <v/>
      </c>
    </row>
    <row r="15">
      <c r="A15" s="5" t="inlineStr">
        <is>
          <t>生态 E</t>
        </is>
      </c>
      <c r="B15" s="5" t="inlineStr">
        <is>
          <t>E4</t>
        </is>
      </c>
      <c r="C15" s="7">
        <f>0.98*MIN(1,MAX(0,('2_指标值'!G15-'2_指标值'!$E15)/('2_指标值'!$F15-'2_指标值'!$E15)))+0.01</f>
        <v/>
      </c>
      <c r="D15" s="7">
        <f>0.98*MIN(1,MAX(0,('2_指标值'!H15-'2_指标值'!$E15)/('2_指标值'!$F15-'2_指标值'!$E15)))+0.01</f>
        <v/>
      </c>
      <c r="E15" s="7">
        <f>0.98*MIN(1,MAX(0,('2_指标值'!I15-'2_指标值'!$E15)/('2_指标值'!$F15-'2_指标值'!$E15)))+0.01</f>
        <v/>
      </c>
      <c r="F15" s="7">
        <f>0.98*MIN(1,MAX(0,('2_指标值'!J15-'2_指标值'!$E15)/('2_指标值'!$F15-'2_指标值'!$E15)))+0.01</f>
        <v/>
      </c>
      <c r="G15" s="7">
        <f>0.98*MIN(1,MAX(0,('2_指标值'!K15-'2_指标值'!$E15)/('2_指标值'!$F15-'2_指标值'!$E15)))+0.01</f>
        <v/>
      </c>
      <c r="H15" s="7">
        <f>0.98*MIN(1,MAX(0,('2_指标值'!L15-'2_指标值'!$E15)/('2_指标值'!$F15-'2_指标值'!$E15)))+0.01</f>
        <v/>
      </c>
      <c r="I15" s="7">
        <f>0.98*MIN(1,MAX(0,('2_指标值'!M15-'2_指标值'!$E15)/('2_指标值'!$F15-'2_指标值'!$E15)))+0.01</f>
        <v/>
      </c>
      <c r="J15" s="7">
        <f>0.98*MIN(1,MAX(0,('2_指标值'!N15-'2_指标值'!$E15)/('2_指标值'!$F15-'2_指标值'!$E15)))+0.01</f>
        <v/>
      </c>
      <c r="K15" s="7">
        <f>0.98*MIN(1,MAX(0,('2_指标值'!O15-'2_指标值'!$E15)/('2_指标值'!$F15-'2_指标值'!$E15)))+0.01</f>
        <v/>
      </c>
      <c r="L15" s="7">
        <f>0.98*MIN(1,MAX(0,('2_指标值'!P15-'2_指标值'!$E15)/('2_指标值'!$F15-'2_指标值'!$E15)))+0.01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子系统指数：子系统内等权平均（论文§3(四) 主设定）</t>
        </is>
      </c>
    </row>
    <row r="2">
      <c r="A2" s="4" t="inlineStr">
        <is>
          <t>年份</t>
        </is>
      </c>
      <c r="B2" s="4" t="inlineStr">
        <is>
          <t>US 安全</t>
        </is>
      </c>
      <c r="C2" s="4" t="inlineStr">
        <is>
          <t>UD 发展</t>
        </is>
      </c>
      <c r="D2" s="4" t="inlineStr">
        <is>
          <t>UE 生态</t>
        </is>
      </c>
      <c r="E2" s="4" t="inlineStr"/>
      <c r="F2" s="4" t="inlineStr">
        <is>
          <t>US 论文</t>
        </is>
      </c>
      <c r="G2" s="4" t="inlineStr">
        <is>
          <t>UD 论文</t>
        </is>
      </c>
      <c r="H2" s="4" t="inlineStr">
        <is>
          <t>UE 论文</t>
        </is>
      </c>
      <c r="I2" s="4" t="inlineStr"/>
      <c r="J2" s="4" t="inlineStr">
        <is>
          <t>US 差</t>
        </is>
      </c>
      <c r="K2" s="4" t="inlineStr">
        <is>
          <t>UD 差</t>
        </is>
      </c>
      <c r="L2" s="4" t="inlineStr">
        <is>
          <t>UE 差</t>
        </is>
      </c>
    </row>
    <row r="3">
      <c r="A3" s="5" t="n">
        <v>2016</v>
      </c>
      <c r="B3" s="7">
        <f>AVERAGE('3_标准化'!C3,'3_标准化'!C4,'3_标准化'!C5,'3_标准化'!C6)</f>
        <v/>
      </c>
      <c r="C3" s="7">
        <f>AVERAGE('3_标准化'!C7,'3_标准化'!C8,'3_标准化'!C9,'3_标准化'!C10,'3_标准化'!C11)</f>
        <v/>
      </c>
      <c r="D3" s="7">
        <f>AVERAGE('3_标准化'!C12,'3_标准化'!C13,'3_标准化'!C14,'3_标准化'!C15)</f>
        <v/>
      </c>
      <c r="F3" s="10" t="n">
        <v>0.537</v>
      </c>
      <c r="G3" s="10" t="n">
        <v>0.467</v>
      </c>
      <c r="H3" s="10" t="n">
        <v>0.267</v>
      </c>
      <c r="J3" s="11">
        <f>B3-F3</f>
        <v/>
      </c>
      <c r="K3" s="11">
        <f>C3-G3</f>
        <v/>
      </c>
      <c r="L3" s="11">
        <f>D3-H3</f>
        <v/>
      </c>
    </row>
    <row r="4">
      <c r="A4" s="5" t="n">
        <v>2017</v>
      </c>
      <c r="B4" s="7">
        <f>AVERAGE('3_标准化'!D3,'3_标准化'!D4,'3_标准化'!D5,'3_标准化'!D6)</f>
        <v/>
      </c>
      <c r="C4" s="7">
        <f>AVERAGE('3_标准化'!D7,'3_标准化'!D8,'3_标准化'!D9,'3_标准化'!D10,'3_标准化'!D11)</f>
        <v/>
      </c>
      <c r="D4" s="7">
        <f>AVERAGE('3_标准化'!D12,'3_标准化'!D13,'3_标准化'!D14,'3_标准化'!D15)</f>
        <v/>
      </c>
      <c r="F4" s="10" t="n">
        <v>0.575</v>
      </c>
      <c r="G4" s="10" t="n">
        <v>0.483</v>
      </c>
      <c r="H4" s="10" t="n">
        <v>0.423</v>
      </c>
      <c r="J4" s="11">
        <f>B4-F4</f>
        <v/>
      </c>
      <c r="K4" s="11">
        <f>C4-G4</f>
        <v/>
      </c>
      <c r="L4" s="11">
        <f>D4-H4</f>
        <v/>
      </c>
    </row>
    <row r="5">
      <c r="A5" s="5" t="n">
        <v>2018</v>
      </c>
      <c r="B5" s="7">
        <f>AVERAGE('3_标准化'!E3,'3_标准化'!E4,'3_标准化'!E5,'3_标准化'!E6)</f>
        <v/>
      </c>
      <c r="C5" s="7">
        <f>AVERAGE('3_标准化'!E7,'3_标准化'!E8,'3_标准化'!E9,'3_标准化'!E10,'3_标准化'!E11)</f>
        <v/>
      </c>
      <c r="D5" s="7">
        <f>AVERAGE('3_标准化'!E12,'3_标准化'!E13,'3_标准化'!E14,'3_标准化'!E15)</f>
        <v/>
      </c>
      <c r="F5" s="10" t="n">
        <v>0.617</v>
      </c>
      <c r="G5" s="10" t="n">
        <v>0.489</v>
      </c>
      <c r="H5" s="10" t="n">
        <v>0.499</v>
      </c>
      <c r="J5" s="11">
        <f>B5-F5</f>
        <v/>
      </c>
      <c r="K5" s="11">
        <f>C5-G5</f>
        <v/>
      </c>
      <c r="L5" s="11">
        <f>D5-H5</f>
        <v/>
      </c>
    </row>
    <row r="6">
      <c r="A6" s="5" t="n">
        <v>2019</v>
      </c>
      <c r="B6" s="7">
        <f>AVERAGE('3_标准化'!F3,'3_标准化'!F4,'3_标准化'!F5,'3_标准化'!F6)</f>
        <v/>
      </c>
      <c r="C6" s="7">
        <f>AVERAGE('3_标准化'!F7,'3_标准化'!F8,'3_标准化'!F9,'3_标准化'!F10,'3_标准化'!F11)</f>
        <v/>
      </c>
      <c r="D6" s="7">
        <f>AVERAGE('3_标准化'!F12,'3_标准化'!F13,'3_标准化'!F14,'3_标准化'!F15)</f>
        <v/>
      </c>
      <c r="F6" s="10" t="n">
        <v>0.615</v>
      </c>
      <c r="G6" s="10" t="n">
        <v>0.519</v>
      </c>
      <c r="H6" s="10" t="n">
        <v>0.542</v>
      </c>
      <c r="J6" s="11">
        <f>B6-F6</f>
        <v/>
      </c>
      <c r="K6" s="11">
        <f>C6-G6</f>
        <v/>
      </c>
      <c r="L6" s="11">
        <f>D6-H6</f>
        <v/>
      </c>
    </row>
    <row r="7">
      <c r="A7" s="5" t="n">
        <v>2020</v>
      </c>
      <c r="B7" s="7">
        <f>AVERAGE('3_标准化'!G3,'3_标准化'!G4,'3_标准化'!G5,'3_标准化'!G6)</f>
        <v/>
      </c>
      <c r="C7" s="7">
        <f>AVERAGE('3_标准化'!G7,'3_标准化'!G8,'3_标准化'!G9,'3_标准化'!G10,'3_标准化'!G11)</f>
        <v/>
      </c>
      <c r="D7" s="7">
        <f>AVERAGE('3_标准化'!G12,'3_标准化'!G13,'3_标准化'!G14,'3_标准化'!G15)</f>
        <v/>
      </c>
      <c r="F7" s="10" t="n">
        <v>0.619</v>
      </c>
      <c r="G7" s="10" t="n">
        <v>0.484</v>
      </c>
      <c r="H7" s="10" t="n">
        <v>0.634</v>
      </c>
      <c r="J7" s="11">
        <f>B7-F7</f>
        <v/>
      </c>
      <c r="K7" s="11">
        <f>C7-G7</f>
        <v/>
      </c>
      <c r="L7" s="11">
        <f>D7-H7</f>
        <v/>
      </c>
    </row>
    <row r="8">
      <c r="A8" s="5" t="n">
        <v>2021</v>
      </c>
      <c r="B8" s="7">
        <f>AVERAGE('3_标准化'!H3,'3_标准化'!H4,'3_标准化'!H5,'3_标准化'!H6)</f>
        <v/>
      </c>
      <c r="C8" s="7">
        <f>AVERAGE('3_标准化'!H7,'3_标准化'!H8,'3_标准化'!H9,'3_标准化'!H10,'3_标准化'!H11)</f>
        <v/>
      </c>
      <c r="D8" s="7">
        <f>AVERAGE('3_标准化'!H12,'3_标准化'!H13,'3_标准化'!H14,'3_标准化'!H15)</f>
        <v/>
      </c>
      <c r="F8" s="10" t="n">
        <v>0.626</v>
      </c>
      <c r="G8" s="10" t="n">
        <v>0.528</v>
      </c>
      <c r="H8" s="10" t="n">
        <v>0.657</v>
      </c>
      <c r="J8" s="11">
        <f>B8-F8</f>
        <v/>
      </c>
      <c r="K8" s="11">
        <f>C8-G8</f>
        <v/>
      </c>
      <c r="L8" s="11">
        <f>D8-H8</f>
        <v/>
      </c>
    </row>
    <row r="9">
      <c r="A9" s="5" t="n">
        <v>2022</v>
      </c>
      <c r="B9" s="7">
        <f>AVERAGE('3_标准化'!I3,'3_标准化'!I4,'3_标准化'!I5,'3_标准化'!I6)</f>
        <v/>
      </c>
      <c r="C9" s="7">
        <f>AVERAGE('3_标准化'!I7,'3_标准化'!I8,'3_标准化'!I9,'3_标准化'!I10,'3_标准化'!I11)</f>
        <v/>
      </c>
      <c r="D9" s="7">
        <f>AVERAGE('3_标准化'!I12,'3_标准化'!I13,'3_标准化'!I14,'3_标准化'!I15)</f>
        <v/>
      </c>
      <c r="F9" s="10" t="n">
        <v>0.615</v>
      </c>
      <c r="G9" s="10" t="n">
        <v>0.539</v>
      </c>
      <c r="H9" s="10" t="n">
        <v>0.6860000000000001</v>
      </c>
      <c r="J9" s="11">
        <f>B9-F9</f>
        <v/>
      </c>
      <c r="K9" s="11">
        <f>C9-G9</f>
        <v/>
      </c>
      <c r="L9" s="11">
        <f>D9-H9</f>
        <v/>
      </c>
    </row>
    <row r="10">
      <c r="A10" s="5" t="n">
        <v>2023</v>
      </c>
      <c r="B10" s="7">
        <f>AVERAGE('3_标准化'!J3,'3_标准化'!J4,'3_标准化'!J5,'3_标准化'!J6)</f>
        <v/>
      </c>
      <c r="C10" s="7">
        <f>AVERAGE('3_标准化'!J7,'3_标准化'!J8,'3_标准化'!J9,'3_标准化'!J10,'3_标准化'!J11)</f>
        <v/>
      </c>
      <c r="D10" s="7">
        <f>AVERAGE('3_标准化'!J12,'3_标准化'!J13,'3_标准化'!J14,'3_标准化'!J15)</f>
        <v/>
      </c>
      <c r="F10" s="10" t="n">
        <v>0.661</v>
      </c>
      <c r="G10" s="10" t="n">
        <v>0.672</v>
      </c>
      <c r="H10" s="10" t="n">
        <v>0.71</v>
      </c>
      <c r="J10" s="11">
        <f>B10-F10</f>
        <v/>
      </c>
      <c r="K10" s="11">
        <f>C10-G10</f>
        <v/>
      </c>
      <c r="L10" s="11">
        <f>D10-H10</f>
        <v/>
      </c>
    </row>
    <row r="11">
      <c r="A11" s="5" t="n">
        <v>2024</v>
      </c>
      <c r="B11" s="7">
        <f>AVERAGE('3_标准化'!K3,'3_标准化'!K4,'3_标准化'!K5,'3_标准化'!K6)</f>
        <v/>
      </c>
      <c r="C11" s="7">
        <f>AVERAGE('3_标准化'!K7,'3_标准化'!K8,'3_标准化'!K9,'3_标准化'!K10,'3_标准化'!K11)</f>
        <v/>
      </c>
      <c r="D11" s="7">
        <f>AVERAGE('3_标准化'!K12,'3_标准化'!K13,'3_标准化'!K14,'3_标准化'!K15)</f>
        <v/>
      </c>
      <c r="F11" s="10" t="n">
        <v>0.6879999999999999</v>
      </c>
      <c r="G11" s="10" t="n">
        <v>0.713</v>
      </c>
      <c r="H11" s="10" t="n">
        <v>0.733</v>
      </c>
      <c r="J11" s="11">
        <f>B11-F11</f>
        <v/>
      </c>
      <c r="K11" s="11">
        <f>C11-G11</f>
        <v/>
      </c>
      <c r="L11" s="11">
        <f>D11-H11</f>
        <v/>
      </c>
    </row>
    <row r="12">
      <c r="A12" s="5" t="n">
        <v>2025</v>
      </c>
      <c r="B12" s="7">
        <f>AVERAGE('3_标准化'!L3,'3_标准化'!L4,'3_标准化'!L5,'3_标准化'!L6)</f>
        <v/>
      </c>
      <c r="C12" s="7">
        <f>AVERAGE('3_标准化'!L7,'3_标准化'!L8,'3_标准化'!L9,'3_标准化'!L10,'3_标准化'!L11)</f>
        <v/>
      </c>
      <c r="D12" s="7">
        <f>AVERAGE('3_标准化'!L12,'3_标准化'!L13,'3_标准化'!L14,'3_标准化'!L15)</f>
        <v/>
      </c>
      <c r="F12" s="10" t="n">
        <v>0.715</v>
      </c>
      <c r="G12" s="10" t="n">
        <v>0.718</v>
      </c>
      <c r="H12" s="10" t="n">
        <v>0.843</v>
      </c>
      <c r="J12" s="11">
        <f>B12-F12</f>
        <v/>
      </c>
      <c r="K12" s="11">
        <f>C12-G12</f>
        <v/>
      </c>
      <c r="L12" s="11">
        <f>D12-H12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MPI 失衡惩罚型协调指数：D = M − S²/M（M为三子系统均值，S²为总体方差）</t>
        </is>
      </c>
    </row>
    <row r="2">
      <c r="A2" s="4" t="inlineStr">
        <is>
          <t>年份</t>
        </is>
      </c>
      <c r="B2" s="4" t="inlineStr">
        <is>
          <t>US</t>
        </is>
      </c>
      <c r="C2" s="4" t="inlineStr">
        <is>
          <t>UD</t>
        </is>
      </c>
      <c r="D2" s="4" t="inlineStr">
        <is>
          <t>UE</t>
        </is>
      </c>
      <c r="E2" s="4" t="inlineStr">
        <is>
          <t>M 均值</t>
        </is>
      </c>
      <c r="F2" s="4" t="inlineStr">
        <is>
          <t>S 标准差</t>
        </is>
      </c>
      <c r="G2" s="4" t="inlineStr">
        <is>
          <t>S² 方差</t>
        </is>
      </c>
      <c r="H2" s="4" t="inlineStr">
        <is>
          <t>CV</t>
        </is>
      </c>
      <c r="I2" s="4" t="inlineStr">
        <is>
          <t>D  MPI</t>
        </is>
      </c>
      <c r="J2" s="4" t="inlineStr"/>
      <c r="K2" s="4" t="inlineStr">
        <is>
          <t>D 论文</t>
        </is>
      </c>
      <c r="L2" s="4" t="inlineStr">
        <is>
          <t>D 差</t>
        </is>
      </c>
      <c r="M2" s="4" t="inlineStr"/>
      <c r="N2" s="4" t="inlineStr">
        <is>
          <t>最弱子系统</t>
        </is>
      </c>
    </row>
    <row r="3">
      <c r="A3" s="5" t="n">
        <v>2016</v>
      </c>
      <c r="B3" s="9">
        <f>'4_子系统指数'!B3</f>
        <v/>
      </c>
      <c r="C3" s="9">
        <f>'4_子系统指数'!C3</f>
        <v/>
      </c>
      <c r="D3" s="9">
        <f>'4_子系统指数'!D3</f>
        <v/>
      </c>
      <c r="E3" s="7">
        <f>AVERAGE(B3:D3)</f>
        <v/>
      </c>
      <c r="F3" s="7">
        <f>STDEV.P(B3:D3)</f>
        <v/>
      </c>
      <c r="G3" s="12">
        <f>VAR.P(B3:D3)</f>
        <v/>
      </c>
      <c r="H3" s="7">
        <f>F3/E3</f>
        <v/>
      </c>
      <c r="I3" s="7">
        <f>E3-G3/E3</f>
        <v/>
      </c>
      <c r="K3" s="10" t="n">
        <v>0.393</v>
      </c>
      <c r="L3" s="11">
        <f>I3-K3</f>
        <v/>
      </c>
      <c r="N3" s="5">
        <f>INDEX({"安全","发展","生态"},MATCH(MIN(B3:D3),B3:D3,0))</f>
        <v/>
      </c>
    </row>
    <row r="4">
      <c r="A4" s="5" t="n">
        <v>2017</v>
      </c>
      <c r="B4" s="9">
        <f>'4_子系统指数'!B4</f>
        <v/>
      </c>
      <c r="C4" s="9">
        <f>'4_子系统指数'!C4</f>
        <v/>
      </c>
      <c r="D4" s="9">
        <f>'4_子系统指数'!D4</f>
        <v/>
      </c>
      <c r="E4" s="7">
        <f>AVERAGE(B4:D4)</f>
        <v/>
      </c>
      <c r="F4" s="7">
        <f>STDEV.P(B4:D4)</f>
        <v/>
      </c>
      <c r="G4" s="12">
        <f>VAR.P(B4:D4)</f>
        <v/>
      </c>
      <c r="H4" s="7">
        <f>F4/E4</f>
        <v/>
      </c>
      <c r="I4" s="7">
        <f>E4-G4/E4</f>
        <v/>
      </c>
      <c r="K4" s="10" t="n">
        <v>0.486</v>
      </c>
      <c r="L4" s="11">
        <f>I4-K4</f>
        <v/>
      </c>
      <c r="N4" s="5">
        <f>INDEX({"安全","发展","生态"},MATCH(MIN(B4:D4),B4:D4,0))</f>
        <v/>
      </c>
    </row>
    <row r="5">
      <c r="A5" s="5" t="n">
        <v>2018</v>
      </c>
      <c r="B5" s="9">
        <f>'4_子系统指数'!B5</f>
        <v/>
      </c>
      <c r="C5" s="9">
        <f>'4_子系统指数'!C5</f>
        <v/>
      </c>
      <c r="D5" s="9">
        <f>'4_子系统指数'!D5</f>
        <v/>
      </c>
      <c r="E5" s="7">
        <f>AVERAGE(B5:D5)</f>
        <v/>
      </c>
      <c r="F5" s="7">
        <f>STDEV.P(B5:D5)</f>
        <v/>
      </c>
      <c r="G5" s="12">
        <f>VAR.P(B5:D5)</f>
        <v/>
      </c>
      <c r="H5" s="7">
        <f>F5/E5</f>
        <v/>
      </c>
      <c r="I5" s="7">
        <f>E5-G5/E5</f>
        <v/>
      </c>
      <c r="K5" s="10" t="n">
        <v>0.528</v>
      </c>
      <c r="L5" s="11">
        <f>I5-K5</f>
        <v/>
      </c>
      <c r="N5" s="5">
        <f>INDEX({"安全","发展","生态"},MATCH(MIN(B5:D5),B5:D5,0))</f>
        <v/>
      </c>
    </row>
    <row r="6">
      <c r="A6" s="5" t="n">
        <v>2019</v>
      </c>
      <c r="B6" s="9">
        <f>'4_子系统指数'!B6</f>
        <v/>
      </c>
      <c r="C6" s="9">
        <f>'4_子系统指数'!C6</f>
        <v/>
      </c>
      <c r="D6" s="9">
        <f>'4_子系统指数'!D6</f>
        <v/>
      </c>
      <c r="E6" s="7">
        <f>AVERAGE(B6:D6)</f>
        <v/>
      </c>
      <c r="F6" s="7">
        <f>STDEV.P(B6:D6)</f>
        <v/>
      </c>
      <c r="G6" s="12">
        <f>VAR.P(B6:D6)</f>
        <v/>
      </c>
      <c r="H6" s="7">
        <f>F6/E6</f>
        <v/>
      </c>
      <c r="I6" s="7">
        <f>E6-G6/E6</f>
        <v/>
      </c>
      <c r="K6" s="10" t="n">
        <v>0.556</v>
      </c>
      <c r="L6" s="11">
        <f>I6-K6</f>
        <v/>
      </c>
      <c r="N6" s="5">
        <f>INDEX({"安全","发展","生态"},MATCH(MIN(B6:D6),B6:D6,0))</f>
        <v/>
      </c>
    </row>
    <row r="7">
      <c r="A7" s="5" t="n">
        <v>2020</v>
      </c>
      <c r="B7" s="9">
        <f>'4_子系统指数'!B7</f>
        <v/>
      </c>
      <c r="C7" s="9">
        <f>'4_子系统指数'!C7</f>
        <v/>
      </c>
      <c r="D7" s="9">
        <f>'4_子系统指数'!D7</f>
        <v/>
      </c>
      <c r="E7" s="7">
        <f>AVERAGE(B7:D7)</f>
        <v/>
      </c>
      <c r="F7" s="7">
        <f>STDEV.P(B7:D7)</f>
        <v/>
      </c>
      <c r="G7" s="12">
        <f>VAR.P(B7:D7)</f>
        <v/>
      </c>
      <c r="H7" s="7">
        <f>F7/E7</f>
        <v/>
      </c>
      <c r="I7" s="7">
        <f>E7-G7/E7</f>
        <v/>
      </c>
      <c r="K7" s="10" t="n">
        <v>0.571</v>
      </c>
      <c r="L7" s="11">
        <f>I7-K7</f>
        <v/>
      </c>
      <c r="N7" s="5">
        <f>INDEX({"安全","发展","生态"},MATCH(MIN(B7:D7),B7:D7,0))</f>
        <v/>
      </c>
    </row>
    <row r="8">
      <c r="A8" s="5" t="n">
        <v>2021</v>
      </c>
      <c r="B8" s="9">
        <f>'4_子系统指数'!B8</f>
        <v/>
      </c>
      <c r="C8" s="9">
        <f>'4_子系统指数'!C8</f>
        <v/>
      </c>
      <c r="D8" s="9">
        <f>'4_子系统指数'!D8</f>
        <v/>
      </c>
      <c r="E8" s="7">
        <f>AVERAGE(B8:D8)</f>
        <v/>
      </c>
      <c r="F8" s="7">
        <f>STDEV.P(B8:D8)</f>
        <v/>
      </c>
      <c r="G8" s="12">
        <f>VAR.P(B8:D8)</f>
        <v/>
      </c>
      <c r="H8" s="7">
        <f>F8/E8</f>
        <v/>
      </c>
      <c r="I8" s="7">
        <f>E8-G8/E8</f>
        <v/>
      </c>
      <c r="K8" s="10" t="n">
        <v>0.598</v>
      </c>
      <c r="L8" s="11">
        <f>I8-K8</f>
        <v/>
      </c>
      <c r="N8" s="5">
        <f>INDEX({"安全","发展","生态"},MATCH(MIN(B8:D8),B8:D8,0))</f>
        <v/>
      </c>
    </row>
    <row r="9">
      <c r="A9" s="5" t="n">
        <v>2022</v>
      </c>
      <c r="B9" s="9">
        <f>'4_子系统指数'!B9</f>
        <v/>
      </c>
      <c r="C9" s="9">
        <f>'4_子系统指数'!C9</f>
        <v/>
      </c>
      <c r="D9" s="9">
        <f>'4_子系统指数'!D9</f>
        <v/>
      </c>
      <c r="E9" s="7">
        <f>AVERAGE(B9:D9)</f>
        <v/>
      </c>
      <c r="F9" s="7">
        <f>STDEV.P(B9:D9)</f>
        <v/>
      </c>
      <c r="G9" s="12">
        <f>VAR.P(B9:D9)</f>
        <v/>
      </c>
      <c r="H9" s="7">
        <f>F9/E9</f>
        <v/>
      </c>
      <c r="I9" s="7">
        <f>E9-G9/E9</f>
        <v/>
      </c>
      <c r="K9" s="10" t="n">
        <v>0.607</v>
      </c>
      <c r="L9" s="11">
        <f>I9-K9</f>
        <v/>
      </c>
      <c r="N9" s="5">
        <f>INDEX({"安全","发展","生态"},MATCH(MIN(B9:D9),B9:D9,0))</f>
        <v/>
      </c>
    </row>
    <row r="10">
      <c r="A10" s="5" t="n">
        <v>2023</v>
      </c>
      <c r="B10" s="9">
        <f>'4_子系统指数'!B10</f>
        <v/>
      </c>
      <c r="C10" s="9">
        <f>'4_子系统指数'!C10</f>
        <v/>
      </c>
      <c r="D10" s="9">
        <f>'4_子系统指数'!D10</f>
        <v/>
      </c>
      <c r="E10" s="7">
        <f>AVERAGE(B10:D10)</f>
        <v/>
      </c>
      <c r="F10" s="7">
        <f>STDEV.P(B10:D10)</f>
        <v/>
      </c>
      <c r="G10" s="12">
        <f>VAR.P(B10:D10)</f>
        <v/>
      </c>
      <c r="H10" s="7">
        <f>F10/E10</f>
        <v/>
      </c>
      <c r="I10" s="7">
        <f>E10-G10/E10</f>
        <v/>
      </c>
      <c r="K10" s="10" t="n">
        <v>0.68</v>
      </c>
      <c r="L10" s="11">
        <f>I10-K10</f>
        <v/>
      </c>
      <c r="N10" s="5">
        <f>INDEX({"安全","发展","生态"},MATCH(MIN(B10:D10),B10:D10,0))</f>
        <v/>
      </c>
    </row>
    <row r="11">
      <c r="A11" s="5" t="n">
        <v>2024</v>
      </c>
      <c r="B11" s="9">
        <f>'4_子系统指数'!B11</f>
        <v/>
      </c>
      <c r="C11" s="9">
        <f>'4_子系统指数'!C11</f>
        <v/>
      </c>
      <c r="D11" s="9">
        <f>'4_子系统指数'!D11</f>
        <v/>
      </c>
      <c r="E11" s="7">
        <f>AVERAGE(B11:D11)</f>
        <v/>
      </c>
      <c r="F11" s="7">
        <f>STDEV.P(B11:D11)</f>
        <v/>
      </c>
      <c r="G11" s="12">
        <f>VAR.P(B11:D11)</f>
        <v/>
      </c>
      <c r="H11" s="7">
        <f>F11/E11</f>
        <v/>
      </c>
      <c r="I11" s="7">
        <f>E11-G11/E11</f>
        <v/>
      </c>
      <c r="K11" s="10" t="n">
        <v>0.711</v>
      </c>
      <c r="L11" s="11">
        <f>I11-K11</f>
        <v/>
      </c>
      <c r="N11" s="5">
        <f>INDEX({"安全","发展","生态"},MATCH(MIN(B11:D11),B11:D11,0))</f>
        <v/>
      </c>
    </row>
    <row r="12">
      <c r="A12" s="5" t="n">
        <v>2025</v>
      </c>
      <c r="B12" s="9">
        <f>'4_子系统指数'!B12</f>
        <v/>
      </c>
      <c r="C12" s="9">
        <f>'4_子系统指数'!C12</f>
        <v/>
      </c>
      <c r="D12" s="9">
        <f>'4_子系统指数'!D12</f>
        <v/>
      </c>
      <c r="E12" s="7">
        <f>AVERAGE(B12:D12)</f>
        <v/>
      </c>
      <c r="F12" s="7">
        <f>STDEV.P(B12:D12)</f>
        <v/>
      </c>
      <c r="G12" s="12">
        <f>VAR.P(B12:D12)</f>
        <v/>
      </c>
      <c r="H12" s="7">
        <f>F12/E12</f>
        <v/>
      </c>
      <c r="I12" s="7">
        <f>E12-G12/E12</f>
        <v/>
      </c>
      <c r="K12" s="10" t="n">
        <v>0.754</v>
      </c>
      <c r="L12" s="11">
        <f>I12-K12</f>
        <v/>
      </c>
      <c r="N12" s="5">
        <f>INDEX({"安全","发展","生态"},MATCH(MIN(B12:D12),B12:D12,0))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熵值法 × CRITIC 组合权重（仅用于诊断与稳健性对照，不参与子系统合成）</t>
        </is>
      </c>
    </row>
    <row r="2">
      <c r="A2" t="inlineStr">
        <is>
          <t>注：论文子系统合成采用等权。本表权重用于「7_结构性贡献缺口」与权重集中度检验。</t>
        </is>
      </c>
    </row>
    <row r="4">
      <c r="A4" s="4" t="inlineStr">
        <is>
          <t>编码</t>
        </is>
      </c>
      <c r="B4" s="4" t="inlineStr">
        <is>
          <t>指标</t>
        </is>
      </c>
      <c r="C4" s="4" t="inlineStr">
        <is>
          <t>Σx'</t>
        </is>
      </c>
      <c r="D4" s="4" t="inlineStr">
        <is>
          <t>熵值 e</t>
        </is>
      </c>
      <c r="E4" s="4" t="inlineStr">
        <is>
          <t>差异 d=1-e</t>
        </is>
      </c>
      <c r="F4" s="4" t="inlineStr">
        <is>
          <t>熵值权重</t>
        </is>
      </c>
      <c r="G4" s="4" t="inlineStr">
        <is>
          <t>标准差 σ</t>
        </is>
      </c>
      <c r="H4" s="4" t="inlineStr">
        <is>
          <t>冲突性 Σ(1-r)</t>
        </is>
      </c>
      <c r="I4" s="4" t="inlineStr">
        <is>
          <t>CRITIC量 C</t>
        </is>
      </c>
      <c r="J4" s="4" t="inlineStr">
        <is>
          <t>CRITIC权重</t>
        </is>
      </c>
      <c r="K4" s="4" t="inlineStr">
        <is>
          <t>组合(积)</t>
        </is>
      </c>
      <c r="L4" s="4" t="inlineStr">
        <is>
          <t>组合权重</t>
        </is>
      </c>
    </row>
    <row r="5">
      <c r="A5" s="5" t="inlineStr">
        <is>
          <t>S1</t>
        </is>
      </c>
      <c r="B5" s="5" t="inlineStr">
        <is>
          <t>人均一般公共预算收入（元/人）</t>
        </is>
      </c>
      <c r="C5" s="7">
        <f>SUM('3_标准化'!$C$3:$L$3)</f>
        <v/>
      </c>
      <c r="D5" s="12">
        <f>-1/LN(10)*(IF('3_标准化'!C3=0,0,('3_标准化'!C3/$C5)*LN('3_标准化'!C3/$C5))+IF('3_标准化'!D3=0,0,('3_标准化'!D3/$C5)*LN('3_标准化'!D3/$C5))+IF('3_标准化'!E3=0,0,('3_标准化'!E3/$C5)*LN('3_标准化'!E3/$C5))+IF('3_标准化'!F3=0,0,('3_标准化'!F3/$C5)*LN('3_标准化'!F3/$C5))+IF('3_标准化'!G3=0,0,('3_标准化'!G3/$C5)*LN('3_标准化'!G3/$C5))+IF('3_标准化'!H3=0,0,('3_标准化'!H3/$C5)*LN('3_标准化'!H3/$C5))+IF('3_标准化'!I3=0,0,('3_标准化'!I3/$C5)*LN('3_标准化'!I3/$C5))+IF('3_标准化'!J3=0,0,('3_标准化'!J3/$C5)*LN('3_标准化'!J3/$C5))+IF('3_标准化'!K3=0,0,('3_标准化'!K3/$C5)*LN('3_标准化'!K3/$C5))+IF('3_标准化'!L3=0,0,('3_标准化'!L3/$C5)*LN('3_标准化'!L3/$C5)))</f>
        <v/>
      </c>
      <c r="E5" s="12">
        <f>1-D5</f>
        <v/>
      </c>
      <c r="F5" s="7">
        <f>E5/SUM($E$5:$E$17)</f>
        <v/>
      </c>
      <c r="G5" s="7">
        <f>STDEV.S('3_标准化'!$C$3:$L$3)</f>
        <v/>
      </c>
      <c r="H5" s="7">
        <f>(1-CORREL('3_标准化'!$C$3:$L$3,'3_标准化'!$C$4:$L$4))+(1-CORREL('3_标准化'!$C$3:$L$3,'3_标准化'!$C$5:$L$5))+(1-CORREL('3_标准化'!$C$3:$L$3,'3_标准化'!$C$6:$L$6))+(1-CORREL('3_标准化'!$C$3:$L$3,'3_标准化'!$C$7:$L$7))+(1-CORREL('3_标准化'!$C$3:$L$3,'3_标准化'!$C$8:$L$8))+(1-CORREL('3_标准化'!$C$3:$L$3,'3_标准化'!$C$9:$L$9))+(1-CORREL('3_标准化'!$C$3:$L$3,'3_标准化'!$C$10:$L$10))+(1-CORREL('3_标准化'!$C$3:$L$3,'3_标准化'!$C$11:$L$11))+(1-CORREL('3_标准化'!$C$3:$L$3,'3_标准化'!$C$12:$L$12))+(1-CORREL('3_标准化'!$C$3:$L$3,'3_标准化'!$C$13:$L$13))+(1-CORREL('3_标准化'!$C$3:$L$3,'3_标准化'!$C$14:$L$14))+(1-CORREL('3_标准化'!$C$3:$L$3,'3_标准化'!$C$15:$L$15))</f>
        <v/>
      </c>
      <c r="I5" s="7">
        <f>G5*H5</f>
        <v/>
      </c>
      <c r="J5" s="7">
        <f>I5/SUM($I$5:$I$17)</f>
        <v/>
      </c>
      <c r="K5" s="12">
        <f>F5*J5</f>
        <v/>
      </c>
      <c r="L5" s="7">
        <f>K5/SUM($K$5:$K$17)</f>
        <v/>
      </c>
    </row>
    <row r="6">
      <c r="A6" s="5" t="inlineStr">
        <is>
          <t>S2</t>
        </is>
      </c>
      <c r="B6" s="5" t="inlineStr">
        <is>
          <t>城乡居民收入比与全国差距（倍）</t>
        </is>
      </c>
      <c r="C6" s="7">
        <f>SUM('3_标准化'!$C$4:$L$4)</f>
        <v/>
      </c>
      <c r="D6" s="12">
        <f>-1/LN(10)*(IF('3_标准化'!C4=0,0,('3_标准化'!C4/$C6)*LN('3_标准化'!C4/$C6))+IF('3_标准化'!D4=0,0,('3_标准化'!D4/$C6)*LN('3_标准化'!D4/$C6))+IF('3_标准化'!E4=0,0,('3_标准化'!E4/$C6)*LN('3_标准化'!E4/$C6))+IF('3_标准化'!F4=0,0,('3_标准化'!F4/$C6)*LN('3_标准化'!F4/$C6))+IF('3_标准化'!G4=0,0,('3_标准化'!G4/$C6)*LN('3_标准化'!G4/$C6))+IF('3_标准化'!H4=0,0,('3_标准化'!H4/$C6)*LN('3_标准化'!H4/$C6))+IF('3_标准化'!I4=0,0,('3_标准化'!I4/$C6)*LN('3_标准化'!I4/$C6))+IF('3_标准化'!J4=0,0,('3_标准化'!J4/$C6)*LN('3_标准化'!J4/$C6))+IF('3_标准化'!K4=0,0,('3_标准化'!K4/$C6)*LN('3_标准化'!K4/$C6))+IF('3_标准化'!L4=0,0,('3_标准化'!L4/$C6)*LN('3_标准化'!L4/$C6)))</f>
        <v/>
      </c>
      <c r="E6" s="12">
        <f>1-D6</f>
        <v/>
      </c>
      <c r="F6" s="7">
        <f>E6/SUM($E$5:$E$17)</f>
        <v/>
      </c>
      <c r="G6" s="7">
        <f>STDEV.S('3_标准化'!$C$4:$L$4)</f>
        <v/>
      </c>
      <c r="H6" s="7">
        <f>(1-CORREL('3_标准化'!$C$4:$L$4,'3_标准化'!$C$3:$L$3))+(1-CORREL('3_标准化'!$C$4:$L$4,'3_标准化'!$C$5:$L$5))+(1-CORREL('3_标准化'!$C$4:$L$4,'3_标准化'!$C$6:$L$6))+(1-CORREL('3_标准化'!$C$4:$L$4,'3_标准化'!$C$7:$L$7))+(1-CORREL('3_标准化'!$C$4:$L$4,'3_标准化'!$C$8:$L$8))+(1-CORREL('3_标准化'!$C$4:$L$4,'3_标准化'!$C$9:$L$9))+(1-CORREL('3_标准化'!$C$4:$L$4,'3_标准化'!$C$10:$L$10))+(1-CORREL('3_标准化'!$C$4:$L$4,'3_标准化'!$C$11:$L$11))+(1-CORREL('3_标准化'!$C$4:$L$4,'3_标准化'!$C$12:$L$12))+(1-CORREL('3_标准化'!$C$4:$L$4,'3_标准化'!$C$13:$L$13))+(1-CORREL('3_标准化'!$C$4:$L$4,'3_标准化'!$C$14:$L$14))+(1-CORREL('3_标准化'!$C$4:$L$4,'3_标准化'!$C$15:$L$15))</f>
        <v/>
      </c>
      <c r="I6" s="7">
        <f>G6*H6</f>
        <v/>
      </c>
      <c r="J6" s="7">
        <f>I6/SUM($I$5:$I$17)</f>
        <v/>
      </c>
      <c r="K6" s="12">
        <f>F6*J6</f>
        <v/>
      </c>
      <c r="L6" s="7">
        <f>K6/SUM($K$5:$K$17)</f>
        <v/>
      </c>
    </row>
    <row r="7">
      <c r="A7" s="5" t="inlineStr">
        <is>
          <t>S3</t>
        </is>
      </c>
      <c r="B7" s="5" t="inlineStr">
        <is>
          <t>居民医保人均财政补助标准（元/人年）</t>
        </is>
      </c>
      <c r="C7" s="7">
        <f>SUM('3_标准化'!$C$5:$L$5)</f>
        <v/>
      </c>
      <c r="D7" s="12">
        <f>-1/LN(10)*(IF('3_标准化'!C5=0,0,('3_标准化'!C5/$C7)*LN('3_标准化'!C5/$C7))+IF('3_标准化'!D5=0,0,('3_标准化'!D5/$C7)*LN('3_标准化'!D5/$C7))+IF('3_标准化'!E5=0,0,('3_标准化'!E5/$C7)*LN('3_标准化'!E5/$C7))+IF('3_标准化'!F5=0,0,('3_标准化'!F5/$C7)*LN('3_标准化'!F5/$C7))+IF('3_标准化'!G5=0,0,('3_标准化'!G5/$C7)*LN('3_标准化'!G5/$C7))+IF('3_标准化'!H5=0,0,('3_标准化'!H5/$C7)*LN('3_标准化'!H5/$C7))+IF('3_标准化'!I5=0,0,('3_标准化'!I5/$C7)*LN('3_标准化'!I5/$C7))+IF('3_标准化'!J5=0,0,('3_标准化'!J5/$C7)*LN('3_标准化'!J5/$C7))+IF('3_标准化'!K5=0,0,('3_标准化'!K5/$C7)*LN('3_标准化'!K5/$C7))+IF('3_标准化'!L5=0,0,('3_标准化'!L5/$C7)*LN('3_标准化'!L5/$C7)))</f>
        <v/>
      </c>
      <c r="E7" s="12">
        <f>1-D7</f>
        <v/>
      </c>
      <c r="F7" s="7">
        <f>E7/SUM($E$5:$E$17)</f>
        <v/>
      </c>
      <c r="G7" s="7">
        <f>STDEV.S('3_标准化'!$C$5:$L$5)</f>
        <v/>
      </c>
      <c r="H7" s="7">
        <f>(1-CORREL('3_标准化'!$C$5:$L$5,'3_标准化'!$C$3:$L$3))+(1-CORREL('3_标准化'!$C$5:$L$5,'3_标准化'!$C$4:$L$4))+(1-CORREL('3_标准化'!$C$5:$L$5,'3_标准化'!$C$6:$L$6))+(1-CORREL('3_标准化'!$C$5:$L$5,'3_标准化'!$C$7:$L$7))+(1-CORREL('3_标准化'!$C$5:$L$5,'3_标准化'!$C$8:$L$8))+(1-CORREL('3_标准化'!$C$5:$L$5,'3_标准化'!$C$9:$L$9))+(1-CORREL('3_标准化'!$C$5:$L$5,'3_标准化'!$C$10:$L$10))+(1-CORREL('3_标准化'!$C$5:$L$5,'3_标准化'!$C$11:$L$11))+(1-CORREL('3_标准化'!$C$5:$L$5,'3_标准化'!$C$12:$L$12))+(1-CORREL('3_标准化'!$C$5:$L$5,'3_标准化'!$C$13:$L$13))+(1-CORREL('3_标准化'!$C$5:$L$5,'3_标准化'!$C$14:$L$14))+(1-CORREL('3_标准化'!$C$5:$L$5,'3_标准化'!$C$15:$L$15))</f>
        <v/>
      </c>
      <c r="I7" s="7">
        <f>G7*H7</f>
        <v/>
      </c>
      <c r="J7" s="7">
        <f>I7/SUM($I$5:$I$17)</f>
        <v/>
      </c>
      <c r="K7" s="12">
        <f>F7*J7</f>
        <v/>
      </c>
      <c r="L7" s="7">
        <f>K7/SUM($K$5:$K$17)</f>
        <v/>
      </c>
    </row>
    <row r="8">
      <c r="A8" s="5" t="inlineStr">
        <is>
          <t>S4</t>
        </is>
      </c>
      <c r="B8" s="5" t="inlineStr">
        <is>
          <t>基本养老保险参保率（%）</t>
        </is>
      </c>
      <c r="C8" s="7">
        <f>SUM('3_标准化'!$C$6:$L$6)</f>
        <v/>
      </c>
      <c r="D8" s="12">
        <f>-1/LN(10)*(IF('3_标准化'!C6=0,0,('3_标准化'!C6/$C8)*LN('3_标准化'!C6/$C8))+IF('3_标准化'!D6=0,0,('3_标准化'!D6/$C8)*LN('3_标准化'!D6/$C8))+IF('3_标准化'!E6=0,0,('3_标准化'!E6/$C8)*LN('3_标准化'!E6/$C8))+IF('3_标准化'!F6=0,0,('3_标准化'!F6/$C8)*LN('3_标准化'!F6/$C8))+IF('3_标准化'!G6=0,0,('3_标准化'!G6/$C8)*LN('3_标准化'!G6/$C8))+IF('3_标准化'!H6=0,0,('3_标准化'!H6/$C8)*LN('3_标准化'!H6/$C8))+IF('3_标准化'!I6=0,0,('3_标准化'!I6/$C8)*LN('3_标准化'!I6/$C8))+IF('3_标准化'!J6=0,0,('3_标准化'!J6/$C8)*LN('3_标准化'!J6/$C8))+IF('3_标准化'!K6=0,0,('3_标准化'!K6/$C8)*LN('3_标准化'!K6/$C8))+IF('3_标准化'!L6=0,0,('3_标准化'!L6/$C8)*LN('3_标准化'!L6/$C8)))</f>
        <v/>
      </c>
      <c r="E8" s="12">
        <f>1-D8</f>
        <v/>
      </c>
      <c r="F8" s="7">
        <f>E8/SUM($E$5:$E$17)</f>
        <v/>
      </c>
      <c r="G8" s="7">
        <f>STDEV.S('3_标准化'!$C$6:$L$6)</f>
        <v/>
      </c>
      <c r="H8" s="7">
        <f>(1-CORREL('3_标准化'!$C$6:$L$6,'3_标准化'!$C$3:$L$3))+(1-CORREL('3_标准化'!$C$6:$L$6,'3_标准化'!$C$4:$L$4))+(1-CORREL('3_标准化'!$C$6:$L$6,'3_标准化'!$C$5:$L$5))+(1-CORREL('3_标准化'!$C$6:$L$6,'3_标准化'!$C$7:$L$7))+(1-CORREL('3_标准化'!$C$6:$L$6,'3_标准化'!$C$8:$L$8))+(1-CORREL('3_标准化'!$C$6:$L$6,'3_标准化'!$C$9:$L$9))+(1-CORREL('3_标准化'!$C$6:$L$6,'3_标准化'!$C$10:$L$10))+(1-CORREL('3_标准化'!$C$6:$L$6,'3_标准化'!$C$11:$L$11))+(1-CORREL('3_标准化'!$C$6:$L$6,'3_标准化'!$C$12:$L$12))+(1-CORREL('3_标准化'!$C$6:$L$6,'3_标准化'!$C$13:$L$13))+(1-CORREL('3_标准化'!$C$6:$L$6,'3_标准化'!$C$14:$L$14))+(1-CORREL('3_标准化'!$C$6:$L$6,'3_标准化'!$C$15:$L$15))</f>
        <v/>
      </c>
      <c r="I8" s="7">
        <f>G8*H8</f>
        <v/>
      </c>
      <c r="J8" s="7">
        <f>I8/SUM($I$5:$I$17)</f>
        <v/>
      </c>
      <c r="K8" s="12">
        <f>F8*J8</f>
        <v/>
      </c>
      <c r="L8" s="7">
        <f>K8/SUM($K$5:$K$17)</f>
        <v/>
      </c>
    </row>
    <row r="9">
      <c r="A9" s="5" t="inlineStr">
        <is>
          <t>D1</t>
        </is>
      </c>
      <c r="B9" s="5" t="inlineStr">
        <is>
          <t>人均GDP相对全国水平（%）</t>
        </is>
      </c>
      <c r="C9" s="7">
        <f>SUM('3_标准化'!$C$7:$L$7)</f>
        <v/>
      </c>
      <c r="D9" s="12">
        <f>-1/LN(10)*(IF('3_标准化'!C7=0,0,('3_标准化'!C7/$C9)*LN('3_标准化'!C7/$C9))+IF('3_标准化'!D7=0,0,('3_标准化'!D7/$C9)*LN('3_标准化'!D7/$C9))+IF('3_标准化'!E7=0,0,('3_标准化'!E7/$C9)*LN('3_标准化'!E7/$C9))+IF('3_标准化'!F7=0,0,('3_标准化'!F7/$C9)*LN('3_标准化'!F7/$C9))+IF('3_标准化'!G7=0,0,('3_标准化'!G7/$C9)*LN('3_标准化'!G7/$C9))+IF('3_标准化'!H7=0,0,('3_标准化'!H7/$C9)*LN('3_标准化'!H7/$C9))+IF('3_标准化'!I7=0,0,('3_标准化'!I7/$C9)*LN('3_标准化'!I7/$C9))+IF('3_标准化'!J7=0,0,('3_标准化'!J7/$C9)*LN('3_标准化'!J7/$C9))+IF('3_标准化'!K7=0,0,('3_标准化'!K7/$C9)*LN('3_标准化'!K7/$C9))+IF('3_标准化'!L7=0,0,('3_标准化'!L7/$C9)*LN('3_标准化'!L7/$C9)))</f>
        <v/>
      </c>
      <c r="E9" s="12">
        <f>1-D9</f>
        <v/>
      </c>
      <c r="F9" s="7">
        <f>E9/SUM($E$5:$E$17)</f>
        <v/>
      </c>
      <c r="G9" s="7">
        <f>STDEV.S('3_标准化'!$C$7:$L$7)</f>
        <v/>
      </c>
      <c r="H9" s="7">
        <f>(1-CORREL('3_标准化'!$C$7:$L$7,'3_标准化'!$C$3:$L$3))+(1-CORREL('3_标准化'!$C$7:$L$7,'3_标准化'!$C$4:$L$4))+(1-CORREL('3_标准化'!$C$7:$L$7,'3_标准化'!$C$5:$L$5))+(1-CORREL('3_标准化'!$C$7:$L$7,'3_标准化'!$C$6:$L$6))+(1-CORREL('3_标准化'!$C$7:$L$7,'3_标准化'!$C$8:$L$8))+(1-CORREL('3_标准化'!$C$7:$L$7,'3_标准化'!$C$9:$L$9))+(1-CORREL('3_标准化'!$C$7:$L$7,'3_标准化'!$C$10:$L$10))+(1-CORREL('3_标准化'!$C$7:$L$7,'3_标准化'!$C$11:$L$11))+(1-CORREL('3_标准化'!$C$7:$L$7,'3_标准化'!$C$12:$L$12))+(1-CORREL('3_标准化'!$C$7:$L$7,'3_标准化'!$C$13:$L$13))+(1-CORREL('3_标准化'!$C$7:$L$7,'3_标准化'!$C$14:$L$14))+(1-CORREL('3_标准化'!$C$7:$L$7,'3_标准化'!$C$15:$L$15))</f>
        <v/>
      </c>
      <c r="I9" s="7">
        <f>G9*H9</f>
        <v/>
      </c>
      <c r="J9" s="7">
        <f>I9/SUM($I$5:$I$17)</f>
        <v/>
      </c>
      <c r="K9" s="12">
        <f>F9*J9</f>
        <v/>
      </c>
      <c r="L9" s="7">
        <f>K9/SUM($K$5:$K$17)</f>
        <v/>
      </c>
    </row>
    <row r="10">
      <c r="A10" s="5" t="inlineStr">
        <is>
          <t>D2</t>
        </is>
      </c>
      <c r="B10" s="5" t="inlineStr">
        <is>
          <t>农村居民人均收入相对全国水平（%）</t>
        </is>
      </c>
      <c r="C10" s="7">
        <f>SUM('3_标准化'!$C$8:$L$8)</f>
        <v/>
      </c>
      <c r="D10" s="12">
        <f>-1/LN(10)*(IF('3_标准化'!C8=0,0,('3_标准化'!C8/$C10)*LN('3_标准化'!C8/$C10))+IF('3_标准化'!D8=0,0,('3_标准化'!D8/$C10)*LN('3_标准化'!D8/$C10))+IF('3_标准化'!E8=0,0,('3_标准化'!E8/$C10)*LN('3_标准化'!E8/$C10))+IF('3_标准化'!F8=0,0,('3_标准化'!F8/$C10)*LN('3_标准化'!F8/$C10))+IF('3_标准化'!G8=0,0,('3_标准化'!G8/$C10)*LN('3_标准化'!G8/$C10))+IF('3_标准化'!H8=0,0,('3_标准化'!H8/$C10)*LN('3_标准化'!H8/$C10))+IF('3_标准化'!I8=0,0,('3_标准化'!I8/$C10)*LN('3_标准化'!I8/$C10))+IF('3_标准化'!J8=0,0,('3_标准化'!J8/$C10)*LN('3_标准化'!J8/$C10))+IF('3_标准化'!K8=0,0,('3_标准化'!K8/$C10)*LN('3_标准化'!K8/$C10))+IF('3_标准化'!L8=0,0,('3_标准化'!L8/$C10)*LN('3_标准化'!L8/$C10)))</f>
        <v/>
      </c>
      <c r="E10" s="12">
        <f>1-D10</f>
        <v/>
      </c>
      <c r="F10" s="7">
        <f>E10/SUM($E$5:$E$17)</f>
        <v/>
      </c>
      <c r="G10" s="7">
        <f>STDEV.S('3_标准化'!$C$8:$L$8)</f>
        <v/>
      </c>
      <c r="H10" s="7">
        <f>(1-CORREL('3_标准化'!$C$8:$L$8,'3_标准化'!$C$3:$L$3))+(1-CORREL('3_标准化'!$C$8:$L$8,'3_标准化'!$C$4:$L$4))+(1-CORREL('3_标准化'!$C$8:$L$8,'3_标准化'!$C$5:$L$5))+(1-CORREL('3_标准化'!$C$8:$L$8,'3_标准化'!$C$6:$L$6))+(1-CORREL('3_标准化'!$C$8:$L$8,'3_标准化'!$C$7:$L$7))+(1-CORREL('3_标准化'!$C$8:$L$8,'3_标准化'!$C$9:$L$9))+(1-CORREL('3_标准化'!$C$8:$L$8,'3_标准化'!$C$10:$L$10))+(1-CORREL('3_标准化'!$C$8:$L$8,'3_标准化'!$C$11:$L$11))+(1-CORREL('3_标准化'!$C$8:$L$8,'3_标准化'!$C$12:$L$12))+(1-CORREL('3_标准化'!$C$8:$L$8,'3_标准化'!$C$13:$L$13))+(1-CORREL('3_标准化'!$C$8:$L$8,'3_标准化'!$C$14:$L$14))+(1-CORREL('3_标准化'!$C$8:$L$8,'3_标准化'!$C$15:$L$15))</f>
        <v/>
      </c>
      <c r="I10" s="7">
        <f>G10*H10</f>
        <v/>
      </c>
      <c r="J10" s="7">
        <f>I10/SUM($I$5:$I$17)</f>
        <v/>
      </c>
      <c r="K10" s="12">
        <f>F10*J10</f>
        <v/>
      </c>
      <c r="L10" s="7">
        <f>K10/SUM($K$5:$K$17)</f>
        <v/>
      </c>
    </row>
    <row r="11">
      <c r="A11" s="5" t="inlineStr">
        <is>
          <t>D3</t>
        </is>
      </c>
      <c r="B11" s="5" t="inlineStr">
        <is>
          <t>外向度（进出口总额/GDP，%）</t>
        </is>
      </c>
      <c r="C11" s="7">
        <f>SUM('3_标准化'!$C$9:$L$9)</f>
        <v/>
      </c>
      <c r="D11" s="12">
        <f>-1/LN(10)*(IF('3_标准化'!C9=0,0,('3_标准化'!C9/$C11)*LN('3_标准化'!C9/$C11))+IF('3_标准化'!D9=0,0,('3_标准化'!D9/$C11)*LN('3_标准化'!D9/$C11))+IF('3_标准化'!E9=0,0,('3_标准化'!E9/$C11)*LN('3_标准化'!E9/$C11))+IF('3_标准化'!F9=0,0,('3_标准化'!F9/$C11)*LN('3_标准化'!F9/$C11))+IF('3_标准化'!G9=0,0,('3_标准化'!G9/$C11)*LN('3_标准化'!G9/$C11))+IF('3_标准化'!H9=0,0,('3_标准化'!H9/$C11)*LN('3_标准化'!H9/$C11))+IF('3_标准化'!I9=0,0,('3_标准化'!I9/$C11)*LN('3_标准化'!I9/$C11))+IF('3_标准化'!J9=0,0,('3_标准化'!J9/$C11)*LN('3_标准化'!J9/$C11))+IF('3_标准化'!K9=0,0,('3_标准化'!K9/$C11)*LN('3_标准化'!K9/$C11))+IF('3_标准化'!L9=0,0,('3_标准化'!L9/$C11)*LN('3_标准化'!L9/$C11)))</f>
        <v/>
      </c>
      <c r="E11" s="12">
        <f>1-D11</f>
        <v/>
      </c>
      <c r="F11" s="7">
        <f>E11/SUM($E$5:$E$17)</f>
        <v/>
      </c>
      <c r="G11" s="7">
        <f>STDEV.S('3_标准化'!$C$9:$L$9)</f>
        <v/>
      </c>
      <c r="H11" s="7">
        <f>(1-CORREL('3_标准化'!$C$9:$L$9,'3_标准化'!$C$3:$L$3))+(1-CORREL('3_标准化'!$C$9:$L$9,'3_标准化'!$C$4:$L$4))+(1-CORREL('3_标准化'!$C$9:$L$9,'3_标准化'!$C$5:$L$5))+(1-CORREL('3_标准化'!$C$9:$L$9,'3_标准化'!$C$6:$L$6))+(1-CORREL('3_标准化'!$C$9:$L$9,'3_标准化'!$C$7:$L$7))+(1-CORREL('3_标准化'!$C$9:$L$9,'3_标准化'!$C$8:$L$8))+(1-CORREL('3_标准化'!$C$9:$L$9,'3_标准化'!$C$10:$L$10))+(1-CORREL('3_标准化'!$C$9:$L$9,'3_标准化'!$C$11:$L$11))+(1-CORREL('3_标准化'!$C$9:$L$9,'3_标准化'!$C$12:$L$12))+(1-CORREL('3_标准化'!$C$9:$L$9,'3_标准化'!$C$13:$L$13))+(1-CORREL('3_标准化'!$C$9:$L$9,'3_标准化'!$C$14:$L$14))+(1-CORREL('3_标准化'!$C$9:$L$9,'3_标准化'!$C$15:$L$15))</f>
        <v/>
      </c>
      <c r="I11" s="7">
        <f>G11*H11</f>
        <v/>
      </c>
      <c r="J11" s="7">
        <f>I11/SUM($I$5:$I$17)</f>
        <v/>
      </c>
      <c r="K11" s="12">
        <f>F11*J11</f>
        <v/>
      </c>
      <c r="L11" s="7">
        <f>K11/SUM($K$5:$K$17)</f>
        <v/>
      </c>
    </row>
    <row r="12">
      <c r="A12" s="5" t="inlineStr">
        <is>
          <t>D4</t>
        </is>
      </c>
      <c r="B12" s="5" t="inlineStr">
        <is>
          <t>人均接待游客（万人次/万人）</t>
        </is>
      </c>
      <c r="C12" s="7">
        <f>SUM('3_标准化'!$C$10:$L$10)</f>
        <v/>
      </c>
      <c r="D12" s="12">
        <f>-1/LN(10)*(IF('3_标准化'!C10=0,0,('3_标准化'!C10/$C12)*LN('3_标准化'!C10/$C12))+IF('3_标准化'!D10=0,0,('3_标准化'!D10/$C12)*LN('3_标准化'!D10/$C12))+IF('3_标准化'!E10=0,0,('3_标准化'!E10/$C12)*LN('3_标准化'!E10/$C12))+IF('3_标准化'!F10=0,0,('3_标准化'!F10/$C12)*LN('3_标准化'!F10/$C12))+IF('3_标准化'!G10=0,0,('3_标准化'!G10/$C12)*LN('3_标准化'!G10/$C12))+IF('3_标准化'!H10=0,0,('3_标准化'!H10/$C12)*LN('3_标准化'!H10/$C12))+IF('3_标准化'!I10=0,0,('3_标准化'!I10/$C12)*LN('3_标准化'!I10/$C12))+IF('3_标准化'!J10=0,0,('3_标准化'!J10/$C12)*LN('3_标准化'!J10/$C12))+IF('3_标准化'!K10=0,0,('3_标准化'!K10/$C12)*LN('3_标准化'!K10/$C12))+IF('3_标准化'!L10=0,0,('3_标准化'!L10/$C12)*LN('3_标准化'!L10/$C12)))</f>
        <v/>
      </c>
      <c r="E12" s="12">
        <f>1-D12</f>
        <v/>
      </c>
      <c r="F12" s="7">
        <f>E12/SUM($E$5:$E$17)</f>
        <v/>
      </c>
      <c r="G12" s="7">
        <f>STDEV.S('3_标准化'!$C$10:$L$10)</f>
        <v/>
      </c>
      <c r="H12" s="7">
        <f>(1-CORREL('3_标准化'!$C$10:$L$10,'3_标准化'!$C$3:$L$3))+(1-CORREL('3_标准化'!$C$10:$L$10,'3_标准化'!$C$4:$L$4))+(1-CORREL('3_标准化'!$C$10:$L$10,'3_标准化'!$C$5:$L$5))+(1-CORREL('3_标准化'!$C$10:$L$10,'3_标准化'!$C$6:$L$6))+(1-CORREL('3_标准化'!$C$10:$L$10,'3_标准化'!$C$7:$L$7))+(1-CORREL('3_标准化'!$C$10:$L$10,'3_标准化'!$C$8:$L$8))+(1-CORREL('3_标准化'!$C$10:$L$10,'3_标准化'!$C$9:$L$9))+(1-CORREL('3_标准化'!$C$10:$L$10,'3_标准化'!$C$11:$L$11))+(1-CORREL('3_标准化'!$C$10:$L$10,'3_标准化'!$C$12:$L$12))+(1-CORREL('3_标准化'!$C$10:$L$10,'3_标准化'!$C$13:$L$13))+(1-CORREL('3_标准化'!$C$10:$L$10,'3_标准化'!$C$14:$L$14))+(1-CORREL('3_标准化'!$C$10:$L$10,'3_标准化'!$C$15:$L$15))</f>
        <v/>
      </c>
      <c r="I12" s="7">
        <f>G12*H12</f>
        <v/>
      </c>
      <c r="J12" s="7">
        <f>I12/SUM($I$5:$I$17)</f>
        <v/>
      </c>
      <c r="K12" s="12">
        <f>F12*J12</f>
        <v/>
      </c>
      <c r="L12" s="7">
        <f>K12/SUM($K$5:$K$17)</f>
        <v/>
      </c>
    </row>
    <row r="13">
      <c r="A13" s="5" t="inlineStr">
        <is>
          <t>D5</t>
        </is>
      </c>
      <c r="B13" s="5" t="inlineStr">
        <is>
          <t>发电量（亿千瓦时）</t>
        </is>
      </c>
      <c r="C13" s="7">
        <f>SUM('3_标准化'!$C$11:$L$11)</f>
        <v/>
      </c>
      <c r="D13" s="12">
        <f>-1/LN(10)*(IF('3_标准化'!C11=0,0,('3_标准化'!C11/$C13)*LN('3_标准化'!C11/$C13))+IF('3_标准化'!D11=0,0,('3_标准化'!D11/$C13)*LN('3_标准化'!D11/$C13))+IF('3_标准化'!E11=0,0,('3_标准化'!E11/$C13)*LN('3_标准化'!E11/$C13))+IF('3_标准化'!F11=0,0,('3_标准化'!F11/$C13)*LN('3_标准化'!F11/$C13))+IF('3_标准化'!G11=0,0,('3_标准化'!G11/$C13)*LN('3_标准化'!G11/$C13))+IF('3_标准化'!H11=0,0,('3_标准化'!H11/$C13)*LN('3_标准化'!H11/$C13))+IF('3_标准化'!I11=0,0,('3_标准化'!I11/$C13)*LN('3_标准化'!I11/$C13))+IF('3_标准化'!J11=0,0,('3_标准化'!J11/$C13)*LN('3_标准化'!J11/$C13))+IF('3_标准化'!K11=0,0,('3_标准化'!K11/$C13)*LN('3_标准化'!K11/$C13))+IF('3_标准化'!L11=0,0,('3_标准化'!L11/$C13)*LN('3_标准化'!L11/$C13)))</f>
        <v/>
      </c>
      <c r="E13" s="12">
        <f>1-D13</f>
        <v/>
      </c>
      <c r="F13" s="7">
        <f>E13/SUM($E$5:$E$17)</f>
        <v/>
      </c>
      <c r="G13" s="7">
        <f>STDEV.S('3_标准化'!$C$11:$L$11)</f>
        <v/>
      </c>
      <c r="H13" s="7">
        <f>(1-CORREL('3_标准化'!$C$11:$L$11,'3_标准化'!$C$3:$L$3))+(1-CORREL('3_标准化'!$C$11:$L$11,'3_标准化'!$C$4:$L$4))+(1-CORREL('3_标准化'!$C$11:$L$11,'3_标准化'!$C$5:$L$5))+(1-CORREL('3_标准化'!$C$11:$L$11,'3_标准化'!$C$6:$L$6))+(1-CORREL('3_标准化'!$C$11:$L$11,'3_标准化'!$C$7:$L$7))+(1-CORREL('3_标准化'!$C$11:$L$11,'3_标准化'!$C$8:$L$8))+(1-CORREL('3_标准化'!$C$11:$L$11,'3_标准化'!$C$9:$L$9))+(1-CORREL('3_标准化'!$C$11:$L$11,'3_标准化'!$C$10:$L$10))+(1-CORREL('3_标准化'!$C$11:$L$11,'3_标准化'!$C$12:$L$12))+(1-CORREL('3_标准化'!$C$11:$L$11,'3_标准化'!$C$13:$L$13))+(1-CORREL('3_标准化'!$C$11:$L$11,'3_标准化'!$C$14:$L$14))+(1-CORREL('3_标准化'!$C$11:$L$11,'3_标准化'!$C$15:$L$15))</f>
        <v/>
      </c>
      <c r="I13" s="7">
        <f>G13*H13</f>
        <v/>
      </c>
      <c r="J13" s="7">
        <f>I13/SUM($I$5:$I$17)</f>
        <v/>
      </c>
      <c r="K13" s="12">
        <f>F13*J13</f>
        <v/>
      </c>
      <c r="L13" s="7">
        <f>K13/SUM($K$5:$K$17)</f>
        <v/>
      </c>
    </row>
    <row r="14">
      <c r="A14" s="5" t="inlineStr">
        <is>
          <t>E1</t>
        </is>
      </c>
      <c r="B14" s="5" t="inlineStr">
        <is>
          <t>单位GDP能耗指数</t>
        </is>
      </c>
      <c r="C14" s="7">
        <f>SUM('3_标准化'!$C$12:$L$12)</f>
        <v/>
      </c>
      <c r="D14" s="12">
        <f>-1/LN(10)*(IF('3_标准化'!C12=0,0,('3_标准化'!C12/$C14)*LN('3_标准化'!C12/$C14))+IF('3_标准化'!D12=0,0,('3_标准化'!D12/$C14)*LN('3_标准化'!D12/$C14))+IF('3_标准化'!E12=0,0,('3_标准化'!E12/$C14)*LN('3_标准化'!E12/$C14))+IF('3_标准化'!F12=0,0,('3_标准化'!F12/$C14)*LN('3_标准化'!F12/$C14))+IF('3_标准化'!G12=0,0,('3_标准化'!G12/$C14)*LN('3_标准化'!G12/$C14))+IF('3_标准化'!H12=0,0,('3_标准化'!H12/$C14)*LN('3_标准化'!H12/$C14))+IF('3_标准化'!I12=0,0,('3_标准化'!I12/$C14)*LN('3_标准化'!I12/$C14))+IF('3_标准化'!J12=0,0,('3_标准化'!J12/$C14)*LN('3_标准化'!J12/$C14))+IF('3_标准化'!K12=0,0,('3_标准化'!K12/$C14)*LN('3_标准化'!K12/$C14))+IF('3_标准化'!L12=0,0,('3_标准化'!L12/$C14)*LN('3_标准化'!L12/$C14)))</f>
        <v/>
      </c>
      <c r="E14" s="12">
        <f>1-D14</f>
        <v/>
      </c>
      <c r="F14" s="7">
        <f>E14/SUM($E$5:$E$17)</f>
        <v/>
      </c>
      <c r="G14" s="7">
        <f>STDEV.S('3_标准化'!$C$12:$L$12)</f>
        <v/>
      </c>
      <c r="H14" s="7">
        <f>(1-CORREL('3_标准化'!$C$12:$L$12,'3_标准化'!$C$3:$L$3))+(1-CORREL('3_标准化'!$C$12:$L$12,'3_标准化'!$C$4:$L$4))+(1-CORREL('3_标准化'!$C$12:$L$12,'3_标准化'!$C$5:$L$5))+(1-CORREL('3_标准化'!$C$12:$L$12,'3_标准化'!$C$6:$L$6))+(1-CORREL('3_标准化'!$C$12:$L$12,'3_标准化'!$C$7:$L$7))+(1-CORREL('3_标准化'!$C$12:$L$12,'3_标准化'!$C$8:$L$8))+(1-CORREL('3_标准化'!$C$12:$L$12,'3_标准化'!$C$9:$L$9))+(1-CORREL('3_标准化'!$C$12:$L$12,'3_标准化'!$C$10:$L$10))+(1-CORREL('3_标准化'!$C$12:$L$12,'3_标准化'!$C$11:$L$11))+(1-CORREL('3_标准化'!$C$12:$L$12,'3_标准化'!$C$13:$L$13))+(1-CORREL('3_标准化'!$C$12:$L$12,'3_标准化'!$C$14:$L$14))+(1-CORREL('3_标准化'!$C$12:$L$12,'3_标准化'!$C$15:$L$15))</f>
        <v/>
      </c>
      <c r="I14" s="7">
        <f>G14*H14</f>
        <v/>
      </c>
      <c r="J14" s="7">
        <f>I14/SUM($I$5:$I$17)</f>
        <v/>
      </c>
      <c r="K14" s="12">
        <f>F14*J14</f>
        <v/>
      </c>
      <c r="L14" s="7">
        <f>K14/SUM($K$5:$K$17)</f>
        <v/>
      </c>
    </row>
    <row r="15">
      <c r="A15" s="5" t="inlineStr">
        <is>
          <t>E2</t>
        </is>
      </c>
      <c r="B15" s="5" t="inlineStr">
        <is>
          <t>森林覆盖率（%）</t>
        </is>
      </c>
      <c r="C15" s="7">
        <f>SUM('3_标准化'!$C$13:$L$13)</f>
        <v/>
      </c>
      <c r="D15" s="12">
        <f>-1/LN(10)*(IF('3_标准化'!C13=0,0,('3_标准化'!C13/$C15)*LN('3_标准化'!C13/$C15))+IF('3_标准化'!D13=0,0,('3_标准化'!D13/$C15)*LN('3_标准化'!D13/$C15))+IF('3_标准化'!E13=0,0,('3_标准化'!E13/$C15)*LN('3_标准化'!E13/$C15))+IF('3_标准化'!F13=0,0,('3_标准化'!F13/$C15)*LN('3_标准化'!F13/$C15))+IF('3_标准化'!G13=0,0,('3_标准化'!G13/$C15)*LN('3_标准化'!G13/$C15))+IF('3_标准化'!H13=0,0,('3_标准化'!H13/$C15)*LN('3_标准化'!H13/$C15))+IF('3_标准化'!I13=0,0,('3_标准化'!I13/$C15)*LN('3_标准化'!I13/$C15))+IF('3_标准化'!J13=0,0,('3_标准化'!J13/$C15)*LN('3_标准化'!J13/$C15))+IF('3_标准化'!K13=0,0,('3_标准化'!K13/$C15)*LN('3_标准化'!K13/$C15))+IF('3_标准化'!L13=0,0,('3_标准化'!L13/$C15)*LN('3_标准化'!L13/$C15)))</f>
        <v/>
      </c>
      <c r="E15" s="12">
        <f>1-D15</f>
        <v/>
      </c>
      <c r="F15" s="7">
        <f>E15/SUM($E$5:$E$17)</f>
        <v/>
      </c>
      <c r="G15" s="7">
        <f>STDEV.S('3_标准化'!$C$13:$L$13)</f>
        <v/>
      </c>
      <c r="H15" s="7">
        <f>(1-CORREL('3_标准化'!$C$13:$L$13,'3_标准化'!$C$3:$L$3))+(1-CORREL('3_标准化'!$C$13:$L$13,'3_标准化'!$C$4:$L$4))+(1-CORREL('3_标准化'!$C$13:$L$13,'3_标准化'!$C$5:$L$5))+(1-CORREL('3_标准化'!$C$13:$L$13,'3_标准化'!$C$6:$L$6))+(1-CORREL('3_标准化'!$C$13:$L$13,'3_标准化'!$C$7:$L$7))+(1-CORREL('3_标准化'!$C$13:$L$13,'3_标准化'!$C$8:$L$8))+(1-CORREL('3_标准化'!$C$13:$L$13,'3_标准化'!$C$9:$L$9))+(1-CORREL('3_标准化'!$C$13:$L$13,'3_标准化'!$C$10:$L$10))+(1-CORREL('3_标准化'!$C$13:$L$13,'3_标准化'!$C$11:$L$11))+(1-CORREL('3_标准化'!$C$13:$L$13,'3_标准化'!$C$12:$L$12))+(1-CORREL('3_标准化'!$C$13:$L$13,'3_标准化'!$C$14:$L$14))+(1-CORREL('3_标准化'!$C$13:$L$13,'3_标准化'!$C$15:$L$15))</f>
        <v/>
      </c>
      <c r="I15" s="7">
        <f>G15*H15</f>
        <v/>
      </c>
      <c r="J15" s="7">
        <f>I15/SUM($I$5:$I$17)</f>
        <v/>
      </c>
      <c r="K15" s="12">
        <f>F15*J15</f>
        <v/>
      </c>
      <c r="L15" s="7">
        <f>K15/SUM($K$5:$K$17)</f>
        <v/>
      </c>
    </row>
    <row r="16">
      <c r="A16" s="5" t="inlineStr">
        <is>
          <t>E3</t>
        </is>
      </c>
      <c r="B16" s="5" t="inlineStr">
        <is>
          <t>空气质量优良天数比例（%）</t>
        </is>
      </c>
      <c r="C16" s="7">
        <f>SUM('3_标准化'!$C$14:$L$14)</f>
        <v/>
      </c>
      <c r="D16" s="12">
        <f>-1/LN(10)*(IF('3_标准化'!C14=0,0,('3_标准化'!C14/$C16)*LN('3_标准化'!C14/$C16))+IF('3_标准化'!D14=0,0,('3_标准化'!D14/$C16)*LN('3_标准化'!D14/$C16))+IF('3_标准化'!E14=0,0,('3_标准化'!E14/$C16)*LN('3_标准化'!E14/$C16))+IF('3_标准化'!F14=0,0,('3_标准化'!F14/$C16)*LN('3_标准化'!F14/$C16))+IF('3_标准化'!G14=0,0,('3_标准化'!G14/$C16)*LN('3_标准化'!G14/$C16))+IF('3_标准化'!H14=0,0,('3_标准化'!H14/$C16)*LN('3_标准化'!H14/$C16))+IF('3_标准化'!I14=0,0,('3_标准化'!I14/$C16)*LN('3_标准化'!I14/$C16))+IF('3_标准化'!J14=0,0,('3_标准化'!J14/$C16)*LN('3_标准化'!J14/$C16))+IF('3_标准化'!K14=0,0,('3_标准化'!K14/$C16)*LN('3_标准化'!K14/$C16))+IF('3_标准化'!L14=0,0,('3_标准化'!L14/$C16)*LN('3_标准化'!L14/$C16)))</f>
        <v/>
      </c>
      <c r="E16" s="12">
        <f>1-D16</f>
        <v/>
      </c>
      <c r="F16" s="7">
        <f>E16/SUM($E$5:$E$17)</f>
        <v/>
      </c>
      <c r="G16" s="7">
        <f>STDEV.S('3_标准化'!$C$14:$L$14)</f>
        <v/>
      </c>
      <c r="H16" s="7">
        <f>(1-CORREL('3_标准化'!$C$14:$L$14,'3_标准化'!$C$3:$L$3))+(1-CORREL('3_标准化'!$C$14:$L$14,'3_标准化'!$C$4:$L$4))+(1-CORREL('3_标准化'!$C$14:$L$14,'3_标准化'!$C$5:$L$5))+(1-CORREL('3_标准化'!$C$14:$L$14,'3_标准化'!$C$6:$L$6))+(1-CORREL('3_标准化'!$C$14:$L$14,'3_标准化'!$C$7:$L$7))+(1-CORREL('3_标准化'!$C$14:$L$14,'3_标准化'!$C$8:$L$8))+(1-CORREL('3_标准化'!$C$14:$L$14,'3_标准化'!$C$9:$L$9))+(1-CORREL('3_标准化'!$C$14:$L$14,'3_标准化'!$C$10:$L$10))+(1-CORREL('3_标准化'!$C$14:$L$14,'3_标准化'!$C$11:$L$11))+(1-CORREL('3_标准化'!$C$14:$L$14,'3_标准化'!$C$12:$L$12))+(1-CORREL('3_标准化'!$C$14:$L$14,'3_标准化'!$C$13:$L$13))+(1-CORREL('3_标准化'!$C$14:$L$14,'3_标准化'!$C$15:$L$15))</f>
        <v/>
      </c>
      <c r="I16" s="7">
        <f>G16*H16</f>
        <v/>
      </c>
      <c r="J16" s="7">
        <f>I16/SUM($I$5:$I$17)</f>
        <v/>
      </c>
      <c r="K16" s="12">
        <f>F16*J16</f>
        <v/>
      </c>
      <c r="L16" s="7">
        <f>K16/SUM($K$5:$K$17)</f>
        <v/>
      </c>
    </row>
    <row r="17">
      <c r="A17" s="5" t="inlineStr">
        <is>
          <t>E4</t>
        </is>
      </c>
      <c r="B17" s="5" t="inlineStr">
        <is>
          <t>草原综合植被盖度（%）</t>
        </is>
      </c>
      <c r="C17" s="7">
        <f>SUM('3_标准化'!$C$15:$L$15)</f>
        <v/>
      </c>
      <c r="D17" s="12">
        <f>-1/LN(10)*(IF('3_标准化'!C15=0,0,('3_标准化'!C15/$C17)*LN('3_标准化'!C15/$C17))+IF('3_标准化'!D15=0,0,('3_标准化'!D15/$C17)*LN('3_标准化'!D15/$C17))+IF('3_标准化'!E15=0,0,('3_标准化'!E15/$C17)*LN('3_标准化'!E15/$C17))+IF('3_标准化'!F15=0,0,('3_标准化'!F15/$C17)*LN('3_标准化'!F15/$C17))+IF('3_标准化'!G15=0,0,('3_标准化'!G15/$C17)*LN('3_标准化'!G15/$C17))+IF('3_标准化'!H15=0,0,('3_标准化'!H15/$C17)*LN('3_标准化'!H15/$C17))+IF('3_标准化'!I15=0,0,('3_标准化'!I15/$C17)*LN('3_标准化'!I15/$C17))+IF('3_标准化'!J15=0,0,('3_标准化'!J15/$C17)*LN('3_标准化'!J15/$C17))+IF('3_标准化'!K15=0,0,('3_标准化'!K15/$C17)*LN('3_标准化'!K15/$C17))+IF('3_标准化'!L15=0,0,('3_标准化'!L15/$C17)*LN('3_标准化'!L15/$C17)))</f>
        <v/>
      </c>
      <c r="E17" s="12">
        <f>1-D17</f>
        <v/>
      </c>
      <c r="F17" s="7">
        <f>E17/SUM($E$5:$E$17)</f>
        <v/>
      </c>
      <c r="G17" s="7">
        <f>STDEV.S('3_标准化'!$C$15:$L$15)</f>
        <v/>
      </c>
      <c r="H17" s="7">
        <f>(1-CORREL('3_标准化'!$C$15:$L$15,'3_标准化'!$C$3:$L$3))+(1-CORREL('3_标准化'!$C$15:$L$15,'3_标准化'!$C$4:$L$4))+(1-CORREL('3_标准化'!$C$15:$L$15,'3_标准化'!$C$5:$L$5))+(1-CORREL('3_标准化'!$C$15:$L$15,'3_标准化'!$C$6:$L$6))+(1-CORREL('3_标准化'!$C$15:$L$15,'3_标准化'!$C$7:$L$7))+(1-CORREL('3_标准化'!$C$15:$L$15,'3_标准化'!$C$8:$L$8))+(1-CORREL('3_标准化'!$C$15:$L$15,'3_标准化'!$C$9:$L$9))+(1-CORREL('3_标准化'!$C$15:$L$15,'3_标准化'!$C$10:$L$10))+(1-CORREL('3_标准化'!$C$15:$L$15,'3_标准化'!$C$11:$L$11))+(1-CORREL('3_标准化'!$C$15:$L$15,'3_标准化'!$C$12:$L$12))+(1-CORREL('3_标准化'!$C$15:$L$15,'3_标准化'!$C$13:$L$13))+(1-CORREL('3_标准化'!$C$15:$L$15,'3_标准化'!$C$14:$L$14))</f>
        <v/>
      </c>
      <c r="I17" s="7">
        <f>G17*H17</f>
        <v/>
      </c>
      <c r="J17" s="7">
        <f>I17/SUM($I$5:$I$17)</f>
        <v/>
      </c>
      <c r="K17" s="12">
        <f>F17*J17</f>
        <v/>
      </c>
      <c r="L17" s="7">
        <f>K17/SUM($K$5:$K$17)</f>
        <v/>
      </c>
    </row>
    <row r="18">
      <c r="B18" s="3" t="inlineStr">
        <is>
          <t>合计</t>
        </is>
      </c>
      <c r="F18" s="13">
        <f>SUM(F5:F17)</f>
        <v/>
      </c>
      <c r="J18" s="13">
        <f>SUM(J5:J17)</f>
        <v/>
      </c>
      <c r="L18" s="13">
        <f>SUM(L5:L17)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结构性贡献缺口 O(i,j) = w(j)·I(i,j) / Σ w·I，I=1-x'，逐年计算后取样本期均值（论文表4）</t>
        </is>
      </c>
    </row>
    <row r="2">
      <c r="A2" s="4" t="inlineStr">
        <is>
          <t>编码</t>
        </is>
      </c>
      <c r="B2" s="4" t="inlineStr">
        <is>
          <t>指标</t>
        </is>
      </c>
      <c r="C2" s="4" t="inlineStr">
        <is>
          <t>2016</t>
        </is>
      </c>
      <c r="D2" s="4" t="inlineStr">
        <is>
          <t>2017</t>
        </is>
      </c>
      <c r="E2" s="4" t="inlineStr">
        <is>
          <t>2018</t>
        </is>
      </c>
      <c r="F2" s="4" t="inlineStr">
        <is>
          <t>2019</t>
        </is>
      </c>
      <c r="G2" s="4" t="inlineStr">
        <is>
          <t>2020</t>
        </is>
      </c>
      <c r="H2" s="4" t="inlineStr">
        <is>
          <t>2021</t>
        </is>
      </c>
      <c r="I2" s="4" t="inlineStr">
        <is>
          <t>2022</t>
        </is>
      </c>
      <c r="J2" s="4" t="inlineStr">
        <is>
          <t>2023</t>
        </is>
      </c>
      <c r="K2" s="4" t="inlineStr">
        <is>
          <t>2024</t>
        </is>
      </c>
      <c r="L2" s="4" t="inlineStr">
        <is>
          <t>2025</t>
        </is>
      </c>
      <c r="M2" s="14" t="inlineStr">
        <is>
          <t>样本期均值</t>
        </is>
      </c>
      <c r="N2" s="14" t="inlineStr">
        <is>
          <t>论文表4</t>
        </is>
      </c>
    </row>
    <row r="3">
      <c r="A3" s="5" t="inlineStr">
        <is>
          <t>S1</t>
        </is>
      </c>
      <c r="B3" s="5" t="inlineStr">
        <is>
          <t>人均一般公共预算收入（元/人）</t>
        </is>
      </c>
      <c r="C3" s="15">
        <f>'6_组合权重'!$L$5*(1-'3_标准化'!C3)/C$17</f>
        <v/>
      </c>
      <c r="D3" s="15">
        <f>'6_组合权重'!$L$5*(1-'3_标准化'!D3)/D$17</f>
        <v/>
      </c>
      <c r="E3" s="15">
        <f>'6_组合权重'!$L$5*(1-'3_标准化'!E3)/E$17</f>
        <v/>
      </c>
      <c r="F3" s="15">
        <f>'6_组合权重'!$L$5*(1-'3_标准化'!F3)/F$17</f>
        <v/>
      </c>
      <c r="G3" s="15">
        <f>'6_组合权重'!$L$5*(1-'3_标准化'!G3)/G$17</f>
        <v/>
      </c>
      <c r="H3" s="15">
        <f>'6_组合权重'!$L$5*(1-'3_标准化'!H3)/H$17</f>
        <v/>
      </c>
      <c r="I3" s="15">
        <f>'6_组合权重'!$L$5*(1-'3_标准化'!I3)/I$17</f>
        <v/>
      </c>
      <c r="J3" s="15">
        <f>'6_组合权重'!$L$5*(1-'3_标准化'!J3)/J$17</f>
        <v/>
      </c>
      <c r="K3" s="15">
        <f>'6_组合权重'!$L$5*(1-'3_标准化'!K3)/K$17</f>
        <v/>
      </c>
      <c r="L3" s="15">
        <f>'6_组合权重'!$L$5*(1-'3_标准化'!L3)/L$17</f>
        <v/>
      </c>
      <c r="M3" s="16">
        <f>AVERAGE(C3:L3)</f>
        <v/>
      </c>
    </row>
    <row r="4">
      <c r="A4" s="5" t="inlineStr">
        <is>
          <t>S2</t>
        </is>
      </c>
      <c r="B4" s="5" t="inlineStr">
        <is>
          <t>城乡居民收入比与全国差距（倍）</t>
        </is>
      </c>
      <c r="C4" s="15">
        <f>'6_组合权重'!$L$6*(1-'3_标准化'!C4)/C$17</f>
        <v/>
      </c>
      <c r="D4" s="15">
        <f>'6_组合权重'!$L$6*(1-'3_标准化'!D4)/D$17</f>
        <v/>
      </c>
      <c r="E4" s="15">
        <f>'6_组合权重'!$L$6*(1-'3_标准化'!E4)/E$17</f>
        <v/>
      </c>
      <c r="F4" s="15">
        <f>'6_组合权重'!$L$6*(1-'3_标准化'!F4)/F$17</f>
        <v/>
      </c>
      <c r="G4" s="15">
        <f>'6_组合权重'!$L$6*(1-'3_标准化'!G4)/G$17</f>
        <v/>
      </c>
      <c r="H4" s="15">
        <f>'6_组合权重'!$L$6*(1-'3_标准化'!H4)/H$17</f>
        <v/>
      </c>
      <c r="I4" s="15">
        <f>'6_组合权重'!$L$6*(1-'3_标准化'!I4)/I$17</f>
        <v/>
      </c>
      <c r="J4" s="15">
        <f>'6_组合权重'!$L$6*(1-'3_标准化'!J4)/J$17</f>
        <v/>
      </c>
      <c r="K4" s="15">
        <f>'6_组合权重'!$L$6*(1-'3_标准化'!K4)/K$17</f>
        <v/>
      </c>
      <c r="L4" s="15">
        <f>'6_组合权重'!$L$6*(1-'3_标准化'!L4)/L$17</f>
        <v/>
      </c>
      <c r="M4" s="16">
        <f>AVERAGE(C4:L4)</f>
        <v/>
      </c>
    </row>
    <row r="5">
      <c r="A5" s="5" t="inlineStr">
        <is>
          <t>S3</t>
        </is>
      </c>
      <c r="B5" s="5" t="inlineStr">
        <is>
          <t>居民医保人均财政补助标准（元/人年）</t>
        </is>
      </c>
      <c r="C5" s="15">
        <f>'6_组合权重'!$L$7*(1-'3_标准化'!C5)/C$17</f>
        <v/>
      </c>
      <c r="D5" s="15">
        <f>'6_组合权重'!$L$7*(1-'3_标准化'!D5)/D$17</f>
        <v/>
      </c>
      <c r="E5" s="15">
        <f>'6_组合权重'!$L$7*(1-'3_标准化'!E5)/E$17</f>
        <v/>
      </c>
      <c r="F5" s="15">
        <f>'6_组合权重'!$L$7*(1-'3_标准化'!F5)/F$17</f>
        <v/>
      </c>
      <c r="G5" s="15">
        <f>'6_组合权重'!$L$7*(1-'3_标准化'!G5)/G$17</f>
        <v/>
      </c>
      <c r="H5" s="15">
        <f>'6_组合权重'!$L$7*(1-'3_标准化'!H5)/H$17</f>
        <v/>
      </c>
      <c r="I5" s="15">
        <f>'6_组合权重'!$L$7*(1-'3_标准化'!I5)/I$17</f>
        <v/>
      </c>
      <c r="J5" s="15">
        <f>'6_组合权重'!$L$7*(1-'3_标准化'!J5)/J$17</f>
        <v/>
      </c>
      <c r="K5" s="15">
        <f>'6_组合权重'!$L$7*(1-'3_标准化'!K5)/K$17</f>
        <v/>
      </c>
      <c r="L5" s="15">
        <f>'6_组合权重'!$L$7*(1-'3_标准化'!L5)/L$17</f>
        <v/>
      </c>
      <c r="M5" s="16">
        <f>AVERAGE(C5:L5)</f>
        <v/>
      </c>
    </row>
    <row r="6">
      <c r="A6" s="5" t="inlineStr">
        <is>
          <t>S4</t>
        </is>
      </c>
      <c r="B6" s="5" t="inlineStr">
        <is>
          <t>基本养老保险参保率（%）</t>
        </is>
      </c>
      <c r="C6" s="15">
        <f>'6_组合权重'!$L$8*(1-'3_标准化'!C6)/C$17</f>
        <v/>
      </c>
      <c r="D6" s="15">
        <f>'6_组合权重'!$L$8*(1-'3_标准化'!D6)/D$17</f>
        <v/>
      </c>
      <c r="E6" s="15">
        <f>'6_组合权重'!$L$8*(1-'3_标准化'!E6)/E$17</f>
        <v/>
      </c>
      <c r="F6" s="15">
        <f>'6_组合权重'!$L$8*(1-'3_标准化'!F6)/F$17</f>
        <v/>
      </c>
      <c r="G6" s="15">
        <f>'6_组合权重'!$L$8*(1-'3_标准化'!G6)/G$17</f>
        <v/>
      </c>
      <c r="H6" s="15">
        <f>'6_组合权重'!$L$8*(1-'3_标准化'!H6)/H$17</f>
        <v/>
      </c>
      <c r="I6" s="15">
        <f>'6_组合权重'!$L$8*(1-'3_标准化'!I6)/I$17</f>
        <v/>
      </c>
      <c r="J6" s="15">
        <f>'6_组合权重'!$L$8*(1-'3_标准化'!J6)/J$17</f>
        <v/>
      </c>
      <c r="K6" s="15">
        <f>'6_组合权重'!$L$8*(1-'3_标准化'!K6)/K$17</f>
        <v/>
      </c>
      <c r="L6" s="15">
        <f>'6_组合权重'!$L$8*(1-'3_标准化'!L6)/L$17</f>
        <v/>
      </c>
      <c r="M6" s="16">
        <f>AVERAGE(C6:L6)</f>
        <v/>
      </c>
    </row>
    <row r="7">
      <c r="A7" s="5" t="inlineStr">
        <is>
          <t>D1</t>
        </is>
      </c>
      <c r="B7" s="5" t="inlineStr">
        <is>
          <t>人均GDP相对全国水平（%）</t>
        </is>
      </c>
      <c r="C7" s="15">
        <f>'6_组合权重'!$L$9*(1-'3_标准化'!C7)/C$17</f>
        <v/>
      </c>
      <c r="D7" s="15">
        <f>'6_组合权重'!$L$9*(1-'3_标准化'!D7)/D$17</f>
        <v/>
      </c>
      <c r="E7" s="15">
        <f>'6_组合权重'!$L$9*(1-'3_标准化'!E7)/E$17</f>
        <v/>
      </c>
      <c r="F7" s="15">
        <f>'6_组合权重'!$L$9*(1-'3_标准化'!F7)/F$17</f>
        <v/>
      </c>
      <c r="G7" s="15">
        <f>'6_组合权重'!$L$9*(1-'3_标准化'!G7)/G$17</f>
        <v/>
      </c>
      <c r="H7" s="15">
        <f>'6_组合权重'!$L$9*(1-'3_标准化'!H7)/H$17</f>
        <v/>
      </c>
      <c r="I7" s="15">
        <f>'6_组合权重'!$L$9*(1-'3_标准化'!I7)/I$17</f>
        <v/>
      </c>
      <c r="J7" s="15">
        <f>'6_组合权重'!$L$9*(1-'3_标准化'!J7)/J$17</f>
        <v/>
      </c>
      <c r="K7" s="15">
        <f>'6_组合权重'!$L$9*(1-'3_标准化'!K7)/K$17</f>
        <v/>
      </c>
      <c r="L7" s="15">
        <f>'6_组合权重'!$L$9*(1-'3_标准化'!L7)/L$17</f>
        <v/>
      </c>
      <c r="M7" s="16">
        <f>AVERAGE(C7:L7)</f>
        <v/>
      </c>
    </row>
    <row r="8">
      <c r="A8" s="5" t="inlineStr">
        <is>
          <t>D2</t>
        </is>
      </c>
      <c r="B8" s="5" t="inlineStr">
        <is>
          <t>农村居民人均收入相对全国水平（%）</t>
        </is>
      </c>
      <c r="C8" s="15">
        <f>'6_组合权重'!$L$10*(1-'3_标准化'!C8)/C$17</f>
        <v/>
      </c>
      <c r="D8" s="15">
        <f>'6_组合权重'!$L$10*(1-'3_标准化'!D8)/D$17</f>
        <v/>
      </c>
      <c r="E8" s="15">
        <f>'6_组合权重'!$L$10*(1-'3_标准化'!E8)/E$17</f>
        <v/>
      </c>
      <c r="F8" s="15">
        <f>'6_组合权重'!$L$10*(1-'3_标准化'!F8)/F$17</f>
        <v/>
      </c>
      <c r="G8" s="15">
        <f>'6_组合权重'!$L$10*(1-'3_标准化'!G8)/G$17</f>
        <v/>
      </c>
      <c r="H8" s="15">
        <f>'6_组合权重'!$L$10*(1-'3_标准化'!H8)/H$17</f>
        <v/>
      </c>
      <c r="I8" s="15">
        <f>'6_组合权重'!$L$10*(1-'3_标准化'!I8)/I$17</f>
        <v/>
      </c>
      <c r="J8" s="15">
        <f>'6_组合权重'!$L$10*(1-'3_标准化'!J8)/J$17</f>
        <v/>
      </c>
      <c r="K8" s="15">
        <f>'6_组合权重'!$L$10*(1-'3_标准化'!K8)/K$17</f>
        <v/>
      </c>
      <c r="L8" s="15">
        <f>'6_组合权重'!$L$10*(1-'3_标准化'!L8)/L$17</f>
        <v/>
      </c>
      <c r="M8" s="16">
        <f>AVERAGE(C8:L8)</f>
        <v/>
      </c>
    </row>
    <row r="9">
      <c r="A9" s="5" t="inlineStr">
        <is>
          <t>D3</t>
        </is>
      </c>
      <c r="B9" s="5" t="inlineStr">
        <is>
          <t>外向度（进出口总额/GDP，%）</t>
        </is>
      </c>
      <c r="C9" s="15">
        <f>'6_组合权重'!$L$11*(1-'3_标准化'!C9)/C$17</f>
        <v/>
      </c>
      <c r="D9" s="15">
        <f>'6_组合权重'!$L$11*(1-'3_标准化'!D9)/D$17</f>
        <v/>
      </c>
      <c r="E9" s="15">
        <f>'6_组合权重'!$L$11*(1-'3_标准化'!E9)/E$17</f>
        <v/>
      </c>
      <c r="F9" s="15">
        <f>'6_组合权重'!$L$11*(1-'3_标准化'!F9)/F$17</f>
        <v/>
      </c>
      <c r="G9" s="15">
        <f>'6_组合权重'!$L$11*(1-'3_标准化'!G9)/G$17</f>
        <v/>
      </c>
      <c r="H9" s="15">
        <f>'6_组合权重'!$L$11*(1-'3_标准化'!H9)/H$17</f>
        <v/>
      </c>
      <c r="I9" s="15">
        <f>'6_组合权重'!$L$11*(1-'3_标准化'!I9)/I$17</f>
        <v/>
      </c>
      <c r="J9" s="15">
        <f>'6_组合权重'!$L$11*(1-'3_标准化'!J9)/J$17</f>
        <v/>
      </c>
      <c r="K9" s="15">
        <f>'6_组合权重'!$L$11*(1-'3_标准化'!K9)/K$17</f>
        <v/>
      </c>
      <c r="L9" s="15">
        <f>'6_组合权重'!$L$11*(1-'3_标准化'!L9)/L$17</f>
        <v/>
      </c>
      <c r="M9" s="16">
        <f>AVERAGE(C9:L9)</f>
        <v/>
      </c>
      <c r="N9" s="17" t="n">
        <v>0.3109</v>
      </c>
    </row>
    <row r="10">
      <c r="A10" s="5" t="inlineStr">
        <is>
          <t>D4</t>
        </is>
      </c>
      <c r="B10" s="5" t="inlineStr">
        <is>
          <t>人均接待游客（万人次/万人）</t>
        </is>
      </c>
      <c r="C10" s="15">
        <f>'6_组合权重'!$L$12*(1-'3_标准化'!C10)/C$17</f>
        <v/>
      </c>
      <c r="D10" s="15">
        <f>'6_组合权重'!$L$12*(1-'3_标准化'!D10)/D$17</f>
        <v/>
      </c>
      <c r="E10" s="15">
        <f>'6_组合权重'!$L$12*(1-'3_标准化'!E10)/E$17</f>
        <v/>
      </c>
      <c r="F10" s="15">
        <f>'6_组合权重'!$L$12*(1-'3_标准化'!F10)/F$17</f>
        <v/>
      </c>
      <c r="G10" s="15">
        <f>'6_组合权重'!$L$12*(1-'3_标准化'!G10)/G$17</f>
        <v/>
      </c>
      <c r="H10" s="15">
        <f>'6_组合权重'!$L$12*(1-'3_标准化'!H10)/H$17</f>
        <v/>
      </c>
      <c r="I10" s="15">
        <f>'6_组合权重'!$L$12*(1-'3_标准化'!I10)/I$17</f>
        <v/>
      </c>
      <c r="J10" s="15">
        <f>'6_组合权重'!$L$12*(1-'3_标准化'!J10)/J$17</f>
        <v/>
      </c>
      <c r="K10" s="15">
        <f>'6_组合权重'!$L$12*(1-'3_标准化'!K10)/K$17</f>
        <v/>
      </c>
      <c r="L10" s="15">
        <f>'6_组合权重'!$L$12*(1-'3_标准化'!L10)/L$17</f>
        <v/>
      </c>
      <c r="M10" s="16">
        <f>AVERAGE(C10:L10)</f>
        <v/>
      </c>
      <c r="N10" s="17" t="n">
        <v>0.0513</v>
      </c>
    </row>
    <row r="11">
      <c r="A11" s="5" t="inlineStr">
        <is>
          <t>D5</t>
        </is>
      </c>
      <c r="B11" s="5" t="inlineStr">
        <is>
          <t>发电量（亿千瓦时）</t>
        </is>
      </c>
      <c r="C11" s="15">
        <f>'6_组合权重'!$L$13*(1-'3_标准化'!C11)/C$17</f>
        <v/>
      </c>
      <c r="D11" s="15">
        <f>'6_组合权重'!$L$13*(1-'3_标准化'!D11)/D$17</f>
        <v/>
      </c>
      <c r="E11" s="15">
        <f>'6_组合权重'!$L$13*(1-'3_标准化'!E11)/E$17</f>
        <v/>
      </c>
      <c r="F11" s="15">
        <f>'6_组合权重'!$L$13*(1-'3_标准化'!F11)/F$17</f>
        <v/>
      </c>
      <c r="G11" s="15">
        <f>'6_组合权重'!$L$13*(1-'3_标准化'!G11)/G$17</f>
        <v/>
      </c>
      <c r="H11" s="15">
        <f>'6_组合权重'!$L$13*(1-'3_标准化'!H11)/H$17</f>
        <v/>
      </c>
      <c r="I11" s="15">
        <f>'6_组合权重'!$L$13*(1-'3_标准化'!I11)/I$17</f>
        <v/>
      </c>
      <c r="J11" s="15">
        <f>'6_组合权重'!$L$13*(1-'3_标准化'!J11)/J$17</f>
        <v/>
      </c>
      <c r="K11" s="15">
        <f>'6_组合权重'!$L$13*(1-'3_标准化'!K11)/K$17</f>
        <v/>
      </c>
      <c r="L11" s="15">
        <f>'6_组合权重'!$L$13*(1-'3_标准化'!L11)/L$17</f>
        <v/>
      </c>
      <c r="M11" s="16">
        <f>AVERAGE(C11:L11)</f>
        <v/>
      </c>
      <c r="N11" s="17" t="n">
        <v>0.0922</v>
      </c>
    </row>
    <row r="12">
      <c r="A12" s="5" t="inlineStr">
        <is>
          <t>E1</t>
        </is>
      </c>
      <c r="B12" s="5" t="inlineStr">
        <is>
          <t>单位GDP能耗指数</t>
        </is>
      </c>
      <c r="C12" s="15">
        <f>'6_组合权重'!$L$14*(1-'3_标准化'!C12)/C$17</f>
        <v/>
      </c>
      <c r="D12" s="15">
        <f>'6_组合权重'!$L$14*(1-'3_标准化'!D12)/D$17</f>
        <v/>
      </c>
      <c r="E12" s="15">
        <f>'6_组合权重'!$L$14*(1-'3_标准化'!E12)/E$17</f>
        <v/>
      </c>
      <c r="F12" s="15">
        <f>'6_组合权重'!$L$14*(1-'3_标准化'!F12)/F$17</f>
        <v/>
      </c>
      <c r="G12" s="15">
        <f>'6_组合权重'!$L$14*(1-'3_标准化'!G12)/G$17</f>
        <v/>
      </c>
      <c r="H12" s="15">
        <f>'6_组合权重'!$L$14*(1-'3_标准化'!H12)/H$17</f>
        <v/>
      </c>
      <c r="I12" s="15">
        <f>'6_组合权重'!$L$14*(1-'3_标准化'!I12)/I$17</f>
        <v/>
      </c>
      <c r="J12" s="15">
        <f>'6_组合权重'!$L$14*(1-'3_标准化'!J12)/J$17</f>
        <v/>
      </c>
      <c r="K12" s="15">
        <f>'6_组合权重'!$L$14*(1-'3_标准化'!K12)/K$17</f>
        <v/>
      </c>
      <c r="L12" s="15">
        <f>'6_组合权重'!$L$14*(1-'3_标准化'!L12)/L$17</f>
        <v/>
      </c>
      <c r="M12" s="16">
        <f>AVERAGE(C12:L12)</f>
        <v/>
      </c>
      <c r="N12" s="17" t="n">
        <v>0.1145</v>
      </c>
    </row>
    <row r="13">
      <c r="A13" s="5" t="inlineStr">
        <is>
          <t>E2</t>
        </is>
      </c>
      <c r="B13" s="5" t="inlineStr">
        <is>
          <t>森林覆盖率（%）</t>
        </is>
      </c>
      <c r="C13" s="15">
        <f>'6_组合权重'!$L$15*(1-'3_标准化'!C13)/C$17</f>
        <v/>
      </c>
      <c r="D13" s="15">
        <f>'6_组合权重'!$L$15*(1-'3_标准化'!D13)/D$17</f>
        <v/>
      </c>
      <c r="E13" s="15">
        <f>'6_组合权重'!$L$15*(1-'3_标准化'!E13)/E$17</f>
        <v/>
      </c>
      <c r="F13" s="15">
        <f>'6_组合权重'!$L$15*(1-'3_标准化'!F13)/F$17</f>
        <v/>
      </c>
      <c r="G13" s="15">
        <f>'6_组合权重'!$L$15*(1-'3_标准化'!G13)/G$17</f>
        <v/>
      </c>
      <c r="H13" s="15">
        <f>'6_组合权重'!$L$15*(1-'3_标准化'!H13)/H$17</f>
        <v/>
      </c>
      <c r="I13" s="15">
        <f>'6_组合权重'!$L$15*(1-'3_标准化'!I13)/I$17</f>
        <v/>
      </c>
      <c r="J13" s="15">
        <f>'6_组合权重'!$L$15*(1-'3_标准化'!J13)/J$17</f>
        <v/>
      </c>
      <c r="K13" s="15">
        <f>'6_组合权重'!$L$15*(1-'3_标准化'!K13)/K$17</f>
        <v/>
      </c>
      <c r="L13" s="15">
        <f>'6_组合权重'!$L$15*(1-'3_标准化'!L13)/L$17</f>
        <v/>
      </c>
      <c r="M13" s="16">
        <f>AVERAGE(C13:L13)</f>
        <v/>
      </c>
      <c r="N13" s="17" t="n">
        <v>0.2556</v>
      </c>
    </row>
    <row r="14">
      <c r="A14" s="5" t="inlineStr">
        <is>
          <t>E3</t>
        </is>
      </c>
      <c r="B14" s="5" t="inlineStr">
        <is>
          <t>空气质量优良天数比例（%）</t>
        </is>
      </c>
      <c r="C14" s="15">
        <f>'6_组合权重'!$L$16*(1-'3_标准化'!C14)/C$17</f>
        <v/>
      </c>
      <c r="D14" s="15">
        <f>'6_组合权重'!$L$16*(1-'3_标准化'!D14)/D$17</f>
        <v/>
      </c>
      <c r="E14" s="15">
        <f>'6_组合权重'!$L$16*(1-'3_标准化'!E14)/E$17</f>
        <v/>
      </c>
      <c r="F14" s="15">
        <f>'6_组合权重'!$L$16*(1-'3_标准化'!F14)/F$17</f>
        <v/>
      </c>
      <c r="G14" s="15">
        <f>'6_组合权重'!$L$16*(1-'3_标准化'!G14)/G$17</f>
        <v/>
      </c>
      <c r="H14" s="15">
        <f>'6_组合权重'!$L$16*(1-'3_标准化'!H14)/H$17</f>
        <v/>
      </c>
      <c r="I14" s="15">
        <f>'6_组合权重'!$L$16*(1-'3_标准化'!I14)/I$17</f>
        <v/>
      </c>
      <c r="J14" s="15">
        <f>'6_组合权重'!$L$16*(1-'3_标准化'!J14)/J$17</f>
        <v/>
      </c>
      <c r="K14" s="15">
        <f>'6_组合权重'!$L$16*(1-'3_标准化'!K14)/K$17</f>
        <v/>
      </c>
      <c r="L14" s="15">
        <f>'6_组合权重'!$L$16*(1-'3_标准化'!L14)/L$17</f>
        <v/>
      </c>
      <c r="M14" s="16">
        <f>AVERAGE(C14:L14)</f>
        <v/>
      </c>
    </row>
    <row r="15">
      <c r="A15" s="5" t="inlineStr">
        <is>
          <t>E4</t>
        </is>
      </c>
      <c r="B15" s="5" t="inlineStr">
        <is>
          <t>草原综合植被盖度（%）</t>
        </is>
      </c>
      <c r="C15" s="15">
        <f>'6_组合权重'!$L$17*(1-'3_标准化'!C15)/C$17</f>
        <v/>
      </c>
      <c r="D15" s="15">
        <f>'6_组合权重'!$L$17*(1-'3_标准化'!D15)/D$17</f>
        <v/>
      </c>
      <c r="E15" s="15">
        <f>'6_组合权重'!$L$17*(1-'3_标准化'!E15)/E$17</f>
        <v/>
      </c>
      <c r="F15" s="15">
        <f>'6_组合权重'!$L$17*(1-'3_标准化'!F15)/F$17</f>
        <v/>
      </c>
      <c r="G15" s="15">
        <f>'6_组合权重'!$L$17*(1-'3_标准化'!G15)/G$17</f>
        <v/>
      </c>
      <c r="H15" s="15">
        <f>'6_组合权重'!$L$17*(1-'3_标准化'!H15)/H$17</f>
        <v/>
      </c>
      <c r="I15" s="15">
        <f>'6_组合权重'!$L$17*(1-'3_标准化'!I15)/I$17</f>
        <v/>
      </c>
      <c r="J15" s="15">
        <f>'6_组合权重'!$L$17*(1-'3_标准化'!J15)/J$17</f>
        <v/>
      </c>
      <c r="K15" s="15">
        <f>'6_组合权重'!$L$17*(1-'3_标准化'!K15)/K$17</f>
        <v/>
      </c>
      <c r="L15" s="15">
        <f>'6_组合权重'!$L$17*(1-'3_标准化'!L15)/L$17</f>
        <v/>
      </c>
      <c r="M15" s="16">
        <f>AVERAGE(C15:L15)</f>
        <v/>
      </c>
      <c r="N15" s="17" t="n">
        <v>0.1582</v>
      </c>
    </row>
    <row r="17">
      <c r="B17" s="3" t="inlineStr">
        <is>
          <t>分母 Σ w·I</t>
        </is>
      </c>
      <c r="C17" s="13">
        <f>SUMPRODUCT(('6_组合权重'!$L$5:$L$17),(1-'3_标准化'!C3:C15))</f>
        <v/>
      </c>
      <c r="D17" s="13">
        <f>SUMPRODUCT(('6_组合权重'!$L$5:$L$17),(1-'3_标准化'!D3:D15))</f>
        <v/>
      </c>
      <c r="E17" s="13">
        <f>SUMPRODUCT(('6_组合权重'!$L$5:$L$17),(1-'3_标准化'!E3:E15))</f>
        <v/>
      </c>
      <c r="F17" s="13">
        <f>SUMPRODUCT(('6_组合权重'!$L$5:$L$17),(1-'3_标准化'!F3:F15))</f>
        <v/>
      </c>
      <c r="G17" s="13">
        <f>SUMPRODUCT(('6_组合权重'!$L$5:$L$17),(1-'3_标准化'!G3:G15))</f>
        <v/>
      </c>
      <c r="H17" s="13">
        <f>SUMPRODUCT(('6_组合权重'!$L$5:$L$17),(1-'3_标准化'!H3:H15))</f>
        <v/>
      </c>
      <c r="I17" s="13">
        <f>SUMPRODUCT(('6_组合权重'!$L$5:$L$17),(1-'3_标准化'!I3:I15))</f>
        <v/>
      </c>
      <c r="J17" s="13">
        <f>SUMPRODUCT(('6_组合权重'!$L$5:$L$17),(1-'3_标准化'!J3:J15))</f>
        <v/>
      </c>
      <c r="K17" s="13">
        <f>SUMPRODUCT(('6_组合权重'!$L$5:$L$17),(1-'3_标准化'!K3:K15))</f>
        <v/>
      </c>
      <c r="L17" s="13">
        <f>SUMPRODUCT(('6_组合权重'!$L$5:$L$17),(1-'3_标准化'!L3:L15))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局部敏感性 ε = (D⁺−D⁻)/(0.02·D)，±1% 相对扰动双侧数值微分（论文表5）</t>
        </is>
      </c>
    </row>
    <row r="2">
      <c r="A2" s="4" t="inlineStr">
        <is>
          <t>年份</t>
        </is>
      </c>
      <c r="B2" s="4" t="inlineStr">
        <is>
          <t>εS 安全</t>
        </is>
      </c>
      <c r="C2" s="4" t="inlineStr">
        <is>
          <t>εD 发展</t>
        </is>
      </c>
      <c r="D2" s="4" t="inlineStr">
        <is>
          <t>εE 生态</t>
        </is>
      </c>
      <c r="E2" s="4" t="inlineStr"/>
      <c r="F2" s="4" t="inlineStr">
        <is>
          <t>εS 论文</t>
        </is>
      </c>
      <c r="G2" s="4" t="inlineStr">
        <is>
          <t>εD 论文</t>
        </is>
      </c>
      <c r="H2" s="4" t="inlineStr">
        <is>
          <t>εE 论文</t>
        </is>
      </c>
      <c r="I2" s="4" t="inlineStr"/>
      <c r="J2" s="4" t="inlineStr">
        <is>
          <t>εS 差</t>
        </is>
      </c>
      <c r="K2" s="4" t="inlineStr">
        <is>
          <t>εD 差</t>
        </is>
      </c>
      <c r="L2" s="4" t="inlineStr">
        <is>
          <t>εE 差</t>
        </is>
      </c>
    </row>
    <row r="3">
      <c r="A3" s="5" t="n">
        <v>2016</v>
      </c>
      <c r="B3" s="18">
        <f>((AVERAGE('4_子系统指数'!B3*1.01,'4_子系统指数'!C3,'4_子系统指数'!D3)-VAR.P('4_子系统指数'!B3*1.01,'4_子系统指数'!C3,'4_子系统指数'!D3)/AVERAGE('4_子系统指数'!B3*1.01,'4_子系统指数'!C3,'4_子系统指数'!D3))-(AVERAGE('4_子系统指数'!B3*0.99,'4_子系统指数'!C3,'4_子系统指数'!D3)-VAR.P('4_子系统指数'!B3*0.99,'4_子系统指数'!C3,'4_子系统指数'!D3)/AVERAGE('4_子系统指数'!B3*0.99,'4_子系统指数'!C3,'4_子系统指数'!D3)))/(0.02*'5_MPI协调指数'!I3)</f>
        <v/>
      </c>
      <c r="C3" s="18">
        <f>((AVERAGE('4_子系统指数'!B3,'4_子系统指数'!C3*1.01,'4_子系统指数'!D3)-VAR.P('4_子系统指数'!B3,'4_子系统指数'!C3*1.01,'4_子系统指数'!D3)/AVERAGE('4_子系统指数'!B3,'4_子系统指数'!C3*1.01,'4_子系统指数'!D3))-(AVERAGE('4_子系统指数'!B3,'4_子系统指数'!C3*0.99,'4_子系统指数'!D3)-VAR.P('4_子系统指数'!B3,'4_子系统指数'!C3*0.99,'4_子系统指数'!D3)/AVERAGE('4_子系统指数'!B3,'4_子系统指数'!C3*0.99,'4_子系统指数'!D3)))/(0.02*'5_MPI协调指数'!I3)</f>
        <v/>
      </c>
      <c r="D3" s="18">
        <f>((AVERAGE('4_子系统指数'!B3,'4_子系统指数'!C3,'4_子系统指数'!D3*1.01)-VAR.P('4_子系统指数'!B3,'4_子系统指数'!C3,'4_子系统指数'!D3*1.01)/AVERAGE('4_子系统指数'!B3,'4_子系统指数'!C3,'4_子系统指数'!D3*1.01))-(AVERAGE('4_子系统指数'!B3,'4_子系统指数'!C3,'4_子系统指数'!D3*0.99)-VAR.P('4_子系统指数'!B3,'4_子系统指数'!C3,'4_子系统指数'!D3*0.99)/AVERAGE('4_子系统指数'!B3,'4_子系统指数'!C3,'4_子系统指数'!D3*0.99)))/(0.02*'5_MPI协调指数'!I3)</f>
        <v/>
      </c>
    </row>
    <row r="4">
      <c r="A4" s="5" t="n">
        <v>2017</v>
      </c>
      <c r="B4" s="18">
        <f>((AVERAGE('4_子系统指数'!B4*1.01,'4_子系统指数'!C4,'4_子系统指数'!D4)-VAR.P('4_子系统指数'!B4*1.01,'4_子系统指数'!C4,'4_子系统指数'!D4)/AVERAGE('4_子系统指数'!B4*1.01,'4_子系统指数'!C4,'4_子系统指数'!D4))-(AVERAGE('4_子系统指数'!B4*0.99,'4_子系统指数'!C4,'4_子系统指数'!D4)-VAR.P('4_子系统指数'!B4*0.99,'4_子系统指数'!C4,'4_子系统指数'!D4)/AVERAGE('4_子系统指数'!B4*0.99,'4_子系统指数'!C4,'4_子系统指数'!D4)))/(0.02*'5_MPI协调指数'!I4)</f>
        <v/>
      </c>
      <c r="C4" s="18">
        <f>((AVERAGE('4_子系统指数'!B4,'4_子系统指数'!C4*1.01,'4_子系统指数'!D4)-VAR.P('4_子系统指数'!B4,'4_子系统指数'!C4*1.01,'4_子系统指数'!D4)/AVERAGE('4_子系统指数'!B4,'4_子系统指数'!C4*1.01,'4_子系统指数'!D4))-(AVERAGE('4_子系统指数'!B4,'4_子系统指数'!C4*0.99,'4_子系统指数'!D4)-VAR.P('4_子系统指数'!B4,'4_子系统指数'!C4*0.99,'4_子系统指数'!D4)/AVERAGE('4_子系统指数'!B4,'4_子系统指数'!C4*0.99,'4_子系统指数'!D4)))/(0.02*'5_MPI协调指数'!I4)</f>
        <v/>
      </c>
      <c r="D4" s="18">
        <f>((AVERAGE('4_子系统指数'!B4,'4_子系统指数'!C4,'4_子系统指数'!D4*1.01)-VAR.P('4_子系统指数'!B4,'4_子系统指数'!C4,'4_子系统指数'!D4*1.01)/AVERAGE('4_子系统指数'!B4,'4_子系统指数'!C4,'4_子系统指数'!D4*1.01))-(AVERAGE('4_子系统指数'!B4,'4_子系统指数'!C4,'4_子系统指数'!D4*0.99)-VAR.P('4_子系统指数'!B4,'4_子系统指数'!C4,'4_子系统指数'!D4*0.99)/AVERAGE('4_子系统指数'!B4,'4_子系统指数'!C4,'4_子系统指数'!D4*0.99)))/(0.02*'5_MPI协调指数'!I4)</f>
        <v/>
      </c>
      <c r="F4" s="10" t="n">
        <v>0.271</v>
      </c>
      <c r="G4" s="10" t="n">
        <v>0.351</v>
      </c>
      <c r="H4" s="10" t="n">
        <v>0.378</v>
      </c>
      <c r="J4" s="19">
        <f>B4-F4</f>
        <v/>
      </c>
      <c r="K4" s="19">
        <f>C4-G4</f>
        <v/>
      </c>
      <c r="L4" s="19">
        <f>D4-H4</f>
        <v/>
      </c>
    </row>
    <row r="5">
      <c r="A5" s="5" t="n">
        <v>2018</v>
      </c>
      <c r="B5" s="18">
        <f>((AVERAGE('4_子系统指数'!B5*1.01,'4_子系统指数'!C5,'4_子系统指数'!D5)-VAR.P('4_子系统指数'!B5*1.01,'4_子系统指数'!C5,'4_子系统指数'!D5)/AVERAGE('4_子系统指数'!B5*1.01,'4_子系统指数'!C5,'4_子系统指数'!D5))-(AVERAGE('4_子系统指数'!B5*0.99,'4_子系统指数'!C5,'4_子系统指数'!D5)-VAR.P('4_子系统指数'!B5*0.99,'4_子系统指数'!C5,'4_子系统指数'!D5)/AVERAGE('4_子系统指数'!B5*0.99,'4_子系统指数'!C5,'4_子系统指数'!D5)))/(0.02*'5_MPI协调指数'!I5)</f>
        <v/>
      </c>
      <c r="C5" s="18">
        <f>((AVERAGE('4_子系统指数'!B5,'4_子系统指数'!C5*1.01,'4_子系统指数'!D5)-VAR.P('4_子系统指数'!B5,'4_子系统指数'!C5*1.01,'4_子系统指数'!D5)/AVERAGE('4_子系统指数'!B5,'4_子系统指数'!C5*1.01,'4_子系统指数'!D5))-(AVERAGE('4_子系统指数'!B5,'4_子系统指数'!C5*0.99,'4_子系统指数'!D5)-VAR.P('4_子系统指数'!B5,'4_子系统指数'!C5*0.99,'4_子系统指数'!D5)/AVERAGE('4_子系统指数'!B5,'4_子系统指数'!C5*0.99,'4_子系统指数'!D5)))/(0.02*'5_MPI协调指数'!I5)</f>
        <v/>
      </c>
      <c r="D5" s="18">
        <f>((AVERAGE('4_子系统指数'!B5,'4_子系统指数'!C5,'4_子系统指数'!D5*1.01)-VAR.P('4_子系统指数'!B5,'4_子系统指数'!C5,'4_子系统指数'!D5*1.01)/AVERAGE('4_子系统指数'!B5,'4_子系统指数'!C5,'4_子系统指数'!D5*1.01))-(AVERAGE('4_子系统指数'!B5,'4_子系统指数'!C5,'4_子系统指数'!D5*0.99)-VAR.P('4_子系统指数'!B5,'4_子系统指数'!C5,'4_子系统指数'!D5*0.99)/AVERAGE('4_子系统指数'!B5,'4_子系统指数'!C5,'4_子系统指数'!D5*0.99)))/(0.02*'5_MPI协调指数'!I5)</f>
        <v/>
      </c>
      <c r="F5" s="10" t="n">
        <v>0.274</v>
      </c>
      <c r="G5" s="10" t="n">
        <v>0.365</v>
      </c>
      <c r="H5" s="10" t="n">
        <v>0.361</v>
      </c>
      <c r="J5" s="19">
        <f>B5-F5</f>
        <v/>
      </c>
      <c r="K5" s="19">
        <f>C5-G5</f>
        <v/>
      </c>
      <c r="L5" s="19">
        <f>D5-H5</f>
        <v/>
      </c>
    </row>
    <row r="6">
      <c r="A6" s="5" t="n">
        <v>2019</v>
      </c>
      <c r="B6" s="18">
        <f>((AVERAGE('4_子系统指数'!B6*1.01,'4_子系统指数'!C6,'4_子系统指数'!D6)-VAR.P('4_子系统指数'!B6*1.01,'4_子系统指数'!C6,'4_子系统指数'!D6)/AVERAGE('4_子系统指数'!B6*1.01,'4_子系统指数'!C6,'4_子系统指数'!D6))-(AVERAGE('4_子系统指数'!B6*0.99,'4_子系统指数'!C6,'4_子系统指数'!D6)-VAR.P('4_子系统指数'!B6*0.99,'4_子系统指数'!C6,'4_子系统指数'!D6)/AVERAGE('4_子系统指数'!B6*0.99,'4_子系统指数'!C6,'4_子系统指数'!D6)))/(0.02*'5_MPI协调指数'!I6)</f>
        <v/>
      </c>
      <c r="C6" s="18">
        <f>((AVERAGE('4_子系统指数'!B6,'4_子系统指数'!C6*1.01,'4_子系统指数'!D6)-VAR.P('4_子系统指数'!B6,'4_子系统指数'!C6*1.01,'4_子系统指数'!D6)/AVERAGE('4_子系统指数'!B6,'4_子系统指数'!C6*1.01,'4_子系统指数'!D6))-(AVERAGE('4_子系统指数'!B6,'4_子系统指数'!C6*0.99,'4_子系统指数'!D6)-VAR.P('4_子系统指数'!B6,'4_子系统指数'!C6*0.99,'4_子系统指数'!D6)/AVERAGE('4_子系统指数'!B6,'4_子系统指数'!C6*0.99,'4_子系统指数'!D6)))/(0.02*'5_MPI协调指数'!I6)</f>
        <v/>
      </c>
      <c r="D6" s="18">
        <f>((AVERAGE('4_子系统指数'!B6,'4_子系统指数'!C6,'4_子系统指数'!D6*1.01)-VAR.P('4_子系统指数'!B6,'4_子系统指数'!C6,'4_子系统指数'!D6*1.01)/AVERAGE('4_子系统指数'!B6,'4_子系统指数'!C6,'4_子系统指数'!D6*1.01))-(AVERAGE('4_子系统指数'!B6,'4_子系统指数'!C6,'4_子系统指数'!D6*0.99)-VAR.P('4_子系统指数'!B6,'4_子系统指数'!C6,'4_子系统指数'!D6*0.99)/AVERAGE('4_子系统指数'!B6,'4_子系统指数'!C6,'4_子系统指数'!D6*0.99)))/(0.02*'5_MPI协调指数'!I6)</f>
        <v/>
      </c>
      <c r="F6" s="10" t="n">
        <v>0.297</v>
      </c>
      <c r="G6" s="10" t="n">
        <v>0.357</v>
      </c>
      <c r="H6" s="10" t="n">
        <v>0.346</v>
      </c>
      <c r="J6" s="19">
        <f>B6-F6</f>
        <v/>
      </c>
      <c r="K6" s="19">
        <f>C6-G6</f>
        <v/>
      </c>
      <c r="L6" s="19">
        <f>D6-H6</f>
        <v/>
      </c>
    </row>
    <row r="7">
      <c r="A7" s="5" t="n">
        <v>2020</v>
      </c>
      <c r="B7" s="18">
        <f>((AVERAGE('4_子系统指数'!B7*1.01,'4_子系统指数'!C7,'4_子系统指数'!D7)-VAR.P('4_子系统指数'!B7*1.01,'4_子系统指数'!C7,'4_子系统指数'!D7)/AVERAGE('4_子系统指数'!B7*1.01,'4_子系统指数'!C7,'4_子系统指数'!D7))-(AVERAGE('4_子系统指数'!B7*0.99,'4_子系统指数'!C7,'4_子系统指数'!D7)-VAR.P('4_子系统指数'!B7*0.99,'4_子系统指数'!C7,'4_子系统指数'!D7)/AVERAGE('4_子系统指数'!B7*0.99,'4_子系统指数'!C7,'4_子系统指数'!D7)))/(0.02*'5_MPI协调指数'!I7)</f>
        <v/>
      </c>
      <c r="C7" s="18">
        <f>((AVERAGE('4_子系统指数'!B7,'4_子系统指数'!C7*1.01,'4_子系统指数'!D7)-VAR.P('4_子系统指数'!B7,'4_子系统指数'!C7*1.01,'4_子系统指数'!D7)/AVERAGE('4_子系统指数'!B7,'4_子系统指数'!C7*1.01,'4_子系统指数'!D7))-(AVERAGE('4_子系统指数'!B7,'4_子系统指数'!C7*0.99,'4_子系统指数'!D7)-VAR.P('4_子系统指数'!B7,'4_子系统指数'!C7*0.99,'4_子系统指数'!D7)/AVERAGE('4_子系统指数'!B7,'4_子系统指数'!C7*0.99,'4_子系统指数'!D7)))/(0.02*'5_MPI协调指数'!I7)</f>
        <v/>
      </c>
      <c r="D7" s="18">
        <f>((AVERAGE('4_子系统指数'!B7,'4_子系统指数'!C7,'4_子系统指数'!D7*1.01)-VAR.P('4_子系统指数'!B7,'4_子系统指数'!C7,'4_子系统指数'!D7*1.01)/AVERAGE('4_子系统指数'!B7,'4_子系统指数'!C7,'4_子系统指数'!D7*1.01))-(AVERAGE('4_子系统指数'!B7,'4_子系统指数'!C7,'4_子系统指数'!D7*0.99)-VAR.P('4_子系统指数'!B7,'4_子系统指数'!C7,'4_子系统指数'!D7*0.99)/AVERAGE('4_子系统指数'!B7,'4_子系统指数'!C7,'4_子系统指数'!D7*0.99)))/(0.02*'5_MPI协调指数'!I7)</f>
        <v/>
      </c>
      <c r="F7" s="10" t="n">
        <v>0.317</v>
      </c>
      <c r="G7" s="10" t="n">
        <v>0.379</v>
      </c>
      <c r="H7" s="10" t="n">
        <v>0.305</v>
      </c>
      <c r="J7" s="19">
        <f>B7-F7</f>
        <v/>
      </c>
      <c r="K7" s="19">
        <f>C7-G7</f>
        <v/>
      </c>
      <c r="L7" s="19">
        <f>D7-H7</f>
        <v/>
      </c>
    </row>
    <row r="8">
      <c r="A8" s="5" t="n">
        <v>2021</v>
      </c>
      <c r="B8" s="18">
        <f>((AVERAGE('4_子系统指数'!B8*1.01,'4_子系统指数'!C8,'4_子系统指数'!D8)-VAR.P('4_子系统指数'!B8*1.01,'4_子系统指数'!C8,'4_子系统指数'!D8)/AVERAGE('4_子系统指数'!B8*1.01,'4_子系统指数'!C8,'4_子系统指数'!D8))-(AVERAGE('4_子系统指数'!B8*0.99,'4_子系统指数'!C8,'4_子系统指数'!D8)-VAR.P('4_子系统指数'!B8*0.99,'4_子系统指数'!C8,'4_子系统指数'!D8)/AVERAGE('4_子系统指数'!B8*0.99,'4_子系统指数'!C8,'4_子系统指数'!D8)))/(0.02*'5_MPI协调指数'!I8)</f>
        <v/>
      </c>
      <c r="C8" s="18">
        <f>((AVERAGE('4_子系统指数'!B8,'4_子系统指数'!C8*1.01,'4_子系统指数'!D8)-VAR.P('4_子系统指数'!B8,'4_子系统指数'!C8*1.01,'4_子系统指数'!D8)/AVERAGE('4_子系统指数'!B8,'4_子系统指数'!C8*1.01,'4_子系统指数'!D8))-(AVERAGE('4_子系统指数'!B8,'4_子系统指数'!C8*0.99,'4_子系统指数'!D8)-VAR.P('4_子系统指数'!B8,'4_子系统指数'!C8*0.99,'4_子系统指数'!D8)/AVERAGE('4_子系统指数'!B8,'4_子系统指数'!C8*0.99,'4_子系统指数'!D8)))/(0.02*'5_MPI协调指数'!I8)</f>
        <v/>
      </c>
      <c r="D8" s="18">
        <f>((AVERAGE('4_子系统指数'!B8,'4_子系统指数'!C8,'4_子系统指数'!D8*1.01)-VAR.P('4_子系统指数'!B8,'4_子系统指数'!C8,'4_子系统指数'!D8*1.01)/AVERAGE('4_子系统指数'!B8,'4_子系统指数'!C8,'4_子系统指数'!D8*1.01))-(AVERAGE('4_子系统指数'!B8,'4_子系统指数'!C8,'4_子系统指数'!D8*0.99)-VAR.P('4_子系统指数'!B8,'4_子系统指数'!C8,'4_子系统指数'!D8*0.99)/AVERAGE('4_子系统指数'!B8,'4_子系统指数'!C8,'4_子系统指数'!D8*0.99)))/(0.02*'5_MPI协调指数'!I8)</f>
        <v/>
      </c>
      <c r="F8" s="10" t="n">
        <v>0.326</v>
      </c>
      <c r="G8" s="10" t="n">
        <v>0.37</v>
      </c>
      <c r="H8" s="10" t="n">
        <v>0.304</v>
      </c>
      <c r="J8" s="19">
        <f>B8-F8</f>
        <v/>
      </c>
      <c r="K8" s="19">
        <f>C8-G8</f>
        <v/>
      </c>
      <c r="L8" s="19">
        <f>D8-H8</f>
        <v/>
      </c>
    </row>
    <row r="9">
      <c r="A9" s="5" t="n">
        <v>2022</v>
      </c>
      <c r="B9" s="18">
        <f>((AVERAGE('4_子系统指数'!B9*1.01,'4_子系统指数'!C9,'4_子系统指数'!D9)-VAR.P('4_子系统指数'!B9*1.01,'4_子系统指数'!C9,'4_子系统指数'!D9)/AVERAGE('4_子系统指数'!B9*1.01,'4_子系统指数'!C9,'4_子系统指数'!D9))-(AVERAGE('4_子系统指数'!B9*0.99,'4_子系统指数'!C9,'4_子系统指数'!D9)-VAR.P('4_子系统指数'!B9*0.99,'4_子系统指数'!C9,'4_子系统指数'!D9)/AVERAGE('4_子系统指数'!B9*0.99,'4_子系统指数'!C9,'4_子系统指数'!D9)))/(0.02*'5_MPI协调指数'!I9)</f>
        <v/>
      </c>
      <c r="C9" s="18">
        <f>((AVERAGE('4_子系统指数'!B9,'4_子系统指数'!C9*1.01,'4_子系统指数'!D9)-VAR.P('4_子系统指数'!B9,'4_子系统指数'!C9*1.01,'4_子系统指数'!D9)/AVERAGE('4_子系统指数'!B9,'4_子系统指数'!C9*1.01,'4_子系统指数'!D9))-(AVERAGE('4_子系统指数'!B9,'4_子系统指数'!C9*0.99,'4_子系统指数'!D9)-VAR.P('4_子系统指数'!B9,'4_子系统指数'!C9*0.99,'4_子系统指数'!D9)/AVERAGE('4_子系统指数'!B9,'4_子系统指数'!C9*0.99,'4_子系统指数'!D9)))/(0.02*'5_MPI协调指数'!I9)</f>
        <v/>
      </c>
      <c r="D9" s="18">
        <f>((AVERAGE('4_子系统指数'!B9,'4_子系统指数'!C9,'4_子系统指数'!D9*1.01)-VAR.P('4_子系统指数'!B9,'4_子系统指数'!C9,'4_子系统指数'!D9*1.01)/AVERAGE('4_子系统指数'!B9,'4_子系统指数'!C9,'4_子系统指数'!D9*1.01))-(AVERAGE('4_子系统指数'!B9,'4_子系统指数'!C9,'4_子系统指数'!D9*0.99)-VAR.P('4_子系统指数'!B9,'4_子系统指数'!C9,'4_子系统指数'!D9*0.99)/AVERAGE('4_子系统指数'!B9,'4_子系统指数'!C9,'4_子系统指数'!D9*0.99)))/(0.02*'5_MPI协调指数'!I9)</f>
        <v/>
      </c>
      <c r="F9" s="10" t="n">
        <v>0.339</v>
      </c>
      <c r="G9" s="10" t="n">
        <v>0.37</v>
      </c>
      <c r="H9" s="10" t="n">
        <v>0.291</v>
      </c>
      <c r="J9" s="19">
        <f>B9-F9</f>
        <v/>
      </c>
      <c r="K9" s="19">
        <f>C9-G9</f>
        <v/>
      </c>
      <c r="L9" s="19">
        <f>D9-H9</f>
        <v/>
      </c>
    </row>
    <row r="10">
      <c r="A10" s="5" t="n">
        <v>2023</v>
      </c>
      <c r="B10" s="18">
        <f>((AVERAGE('4_子系统指数'!B10*1.01,'4_子系统指数'!C10,'4_子系统指数'!D10)-VAR.P('4_子系统指数'!B10*1.01,'4_子系统指数'!C10,'4_子系统指数'!D10)/AVERAGE('4_子系统指数'!B10*1.01,'4_子系统指数'!C10,'4_子系统指数'!D10))-(AVERAGE('4_子系统指数'!B10*0.99,'4_子系统指数'!C10,'4_子系统指数'!D10)-VAR.P('4_子系统指数'!B10*0.99,'4_子系统指数'!C10,'4_子系统指数'!D10)/AVERAGE('4_子系统指数'!B10*0.99,'4_子系统指数'!C10,'4_子系统指数'!D10)))/(0.02*'5_MPI协调指数'!I10)</f>
        <v/>
      </c>
      <c r="C10" s="18">
        <f>((AVERAGE('4_子系统指数'!B10,'4_子系统指数'!C10*1.01,'4_子系统指数'!D10)-VAR.P('4_子系统指数'!B10,'4_子系统指数'!C10*1.01,'4_子系统指数'!D10)/AVERAGE('4_子系统指数'!B10,'4_子系统指数'!C10*1.01,'4_子系统指数'!D10))-(AVERAGE('4_子系统指数'!B10,'4_子系统指数'!C10*0.99,'4_子系统指数'!D10)-VAR.P('4_子系统指数'!B10,'4_子系统指数'!C10*0.99,'4_子系统指数'!D10)/AVERAGE('4_子系统指数'!B10,'4_子系统指数'!C10*0.99,'4_子系统指数'!D10)))/(0.02*'5_MPI协调指数'!I10)</f>
        <v/>
      </c>
      <c r="D10" s="18">
        <f>((AVERAGE('4_子系统指数'!B10,'4_子系统指数'!C10,'4_子系统指数'!D10*1.01)-VAR.P('4_子系统指数'!B10,'4_子系统指数'!C10,'4_子系统指数'!D10*1.01)/AVERAGE('4_子系统指数'!B10,'4_子系统指数'!C10,'4_子系统指数'!D10*1.01))-(AVERAGE('4_子系统指数'!B10,'4_子系统指数'!C10,'4_子系统指数'!D10*0.99)-VAR.P('4_子系统指数'!B10,'4_子系统指数'!C10,'4_子系统指数'!D10*0.99)/AVERAGE('4_子系统指数'!B10,'4_子系统指数'!C10,'4_子系统指数'!D10*0.99)))/(0.02*'5_MPI协调指数'!I10)</f>
        <v/>
      </c>
      <c r="F10" s="10" t="n">
        <v>0.343</v>
      </c>
      <c r="G10" s="10" t="n">
        <v>0.338</v>
      </c>
      <c r="H10" s="10" t="n">
        <v>0.319</v>
      </c>
      <c r="J10" s="19">
        <f>B10-F10</f>
        <v/>
      </c>
      <c r="K10" s="19">
        <f>C10-G10</f>
        <v/>
      </c>
      <c r="L10" s="19">
        <f>D10-H10</f>
        <v/>
      </c>
    </row>
    <row r="11">
      <c r="A11" s="5" t="n">
        <v>2024</v>
      </c>
      <c r="B11" s="18">
        <f>((AVERAGE('4_子系统指数'!B11*1.01,'4_子系统指数'!C11,'4_子系统指数'!D11)-VAR.P('4_子系统指数'!B11*1.01,'4_子系统指数'!C11,'4_子系统指数'!D11)/AVERAGE('4_子系统指数'!B11*1.01,'4_子系统指数'!C11,'4_子系统指数'!D11))-(AVERAGE('4_子系统指数'!B11*0.99,'4_子系统指数'!C11,'4_子系统指数'!D11)-VAR.P('4_子系统指数'!B11*0.99,'4_子系统指数'!C11,'4_子系统指数'!D11)/AVERAGE('4_子系统指数'!B11*0.99,'4_子系统指数'!C11,'4_子系统指数'!D11)))/(0.02*'5_MPI协调指数'!I11)</f>
        <v/>
      </c>
      <c r="C11" s="18">
        <f>((AVERAGE('4_子系统指数'!B11,'4_子系统指数'!C11*1.01,'4_子系统指数'!D11)-VAR.P('4_子系统指数'!B11,'4_子系统指数'!C11*1.01,'4_子系统指数'!D11)/AVERAGE('4_子系统指数'!B11,'4_子系统指数'!C11*1.01,'4_子系统指数'!D11))-(AVERAGE('4_子系统指数'!B11,'4_子系统指数'!C11*0.99,'4_子系统指数'!D11)-VAR.P('4_子系统指数'!B11,'4_子系统指数'!C11*0.99,'4_子系统指数'!D11)/AVERAGE('4_子系统指数'!B11,'4_子系统指数'!C11*0.99,'4_子系统指数'!D11)))/(0.02*'5_MPI协调指数'!I11)</f>
        <v/>
      </c>
      <c r="D11" s="18">
        <f>((AVERAGE('4_子系统指数'!B11,'4_子系统指数'!C11,'4_子系统指数'!D11*1.01)-VAR.P('4_子系统指数'!B11,'4_子系统指数'!C11,'4_子系统指数'!D11*1.01)/AVERAGE('4_子系统指数'!B11,'4_子系统指数'!C11,'4_子系统指数'!D11*1.01))-(AVERAGE('4_子系统指数'!B11,'4_子系统指数'!C11,'4_子系统指数'!D11*0.99)-VAR.P('4_子系统指数'!B11,'4_子系统指数'!C11,'4_子系统指数'!D11*0.99)/AVERAGE('4_子系统指数'!B11,'4_子系统指数'!C11,'4_子系统指数'!D11*0.99)))/(0.02*'5_MPI协调指数'!I11)</f>
        <v/>
      </c>
      <c r="F11" s="10" t="n">
        <v>0.344</v>
      </c>
      <c r="G11" s="10" t="n">
        <v>0.333</v>
      </c>
      <c r="H11" s="10" t="n">
        <v>0.323</v>
      </c>
      <c r="J11" s="19">
        <f>B11-F11</f>
        <v/>
      </c>
      <c r="K11" s="19">
        <f>C11-G11</f>
        <v/>
      </c>
      <c r="L11" s="19">
        <f>D11-H11</f>
        <v/>
      </c>
    </row>
    <row r="12">
      <c r="A12" s="5" t="n">
        <v>2025</v>
      </c>
      <c r="B12" s="18">
        <f>((AVERAGE('4_子系统指数'!B12*1.01,'4_子系统指数'!C12,'4_子系统指数'!D12)-VAR.P('4_子系统指数'!B12*1.01,'4_子系统指数'!C12,'4_子系统指数'!D12)/AVERAGE('4_子系统指数'!B12*1.01,'4_子系统指数'!C12,'4_子系统指数'!D12))-(AVERAGE('4_子系统指数'!B12*0.99,'4_子系统指数'!C12,'4_子系统指数'!D12)-VAR.P('4_子系统指数'!B12*0.99,'4_子系统指数'!C12,'4_子系统指数'!D12)/AVERAGE('4_子系统指数'!B12*0.99,'4_子系统指数'!C12,'4_子系统指数'!D12)))/(0.02*'5_MPI协调指数'!I12)</f>
        <v/>
      </c>
      <c r="C12" s="18">
        <f>((AVERAGE('4_子系统指数'!B12,'4_子系统指数'!C12*1.01,'4_子系统指数'!D12)-VAR.P('4_子系统指数'!B12,'4_子系统指数'!C12*1.01,'4_子系统指数'!D12)/AVERAGE('4_子系统指数'!B12,'4_子系统指数'!C12*1.01,'4_子系统指数'!D12))-(AVERAGE('4_子系统指数'!B12,'4_子系统指数'!C12*0.99,'4_子系统指数'!D12)-VAR.P('4_子系统指数'!B12,'4_子系统指数'!C12*0.99,'4_子系统指数'!D12)/AVERAGE('4_子系统指数'!B12,'4_子系统指数'!C12*0.99,'4_子系统指数'!D12)))/(0.02*'5_MPI协调指数'!I12)</f>
        <v/>
      </c>
      <c r="D12" s="18">
        <f>((AVERAGE('4_子系统指数'!B12,'4_子系统指数'!C12,'4_子系统指数'!D12*1.01)-VAR.P('4_子系统指数'!B12,'4_子系统指数'!C12,'4_子系统指数'!D12*1.01)/AVERAGE('4_子系统指数'!B12,'4_子系统指数'!C12,'4_子系统指数'!D12*1.01))-(AVERAGE('4_子系统指数'!B12,'4_子系统指数'!C12,'4_子系统指数'!D12*0.99)-VAR.P('4_子系统指数'!B12,'4_子系统指数'!C12,'4_子系统指数'!D12*0.99)/AVERAGE('4_子系统指数'!B12,'4_子系统指数'!C12,'4_子系统指数'!D12*0.99)))/(0.02*'5_MPI协调指数'!I12)</f>
        <v/>
      </c>
      <c r="F12" s="10" t="n">
        <v>0.354</v>
      </c>
      <c r="G12" s="10" t="n">
        <v>0.353</v>
      </c>
      <c r="H12" s="10" t="n">
        <v>0.292</v>
      </c>
      <c r="J12" s="19">
        <f>B12-F12</f>
        <v/>
      </c>
      <c r="K12" s="19">
        <f>C12-G12</f>
        <v/>
      </c>
      <c r="L12" s="19">
        <f>D12-H12</f>
        <v/>
      </c>
    </row>
    <row r="14">
      <c r="A14" t="inlineStr">
        <is>
          <t>注：2016年生态类指标处于固定基准区间下限，弹性数值不稳定，论文表5未列（本表照算，仅供参考）。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留一法（LOO）：逐一剔除单项指标后按其余设定不变重算（论文表6）</t>
        </is>
      </c>
    </row>
    <row r="2">
      <c r="A2" s="4" t="inlineStr">
        <is>
          <t>剔除指标</t>
        </is>
      </c>
      <c r="B2" s="4" t="inlineStr">
        <is>
          <t>所属子系统</t>
        </is>
      </c>
      <c r="C2" s="4" t="inlineStr">
        <is>
          <t>2016</t>
        </is>
      </c>
      <c r="D2" s="4" t="inlineStr">
        <is>
          <t>2017</t>
        </is>
      </c>
      <c r="E2" s="4" t="inlineStr">
        <is>
          <t>2018</t>
        </is>
      </c>
      <c r="F2" s="4" t="inlineStr">
        <is>
          <t>2019</t>
        </is>
      </c>
      <c r="G2" s="4" t="inlineStr">
        <is>
          <t>2020</t>
        </is>
      </c>
      <c r="H2" s="4" t="inlineStr">
        <is>
          <t>2021</t>
        </is>
      </c>
      <c r="I2" s="4" t="inlineStr">
        <is>
          <t>2022</t>
        </is>
      </c>
      <c r="J2" s="4" t="inlineStr">
        <is>
          <t>2023</t>
        </is>
      </c>
      <c r="K2" s="4" t="inlineStr">
        <is>
          <t>2024</t>
        </is>
      </c>
      <c r="L2" s="4" t="inlineStr">
        <is>
          <t>2025</t>
        </is>
      </c>
      <c r="M2" s="14" t="inlineStr">
        <is>
          <t>发展最弱年数</t>
        </is>
      </c>
      <c r="N2" s="14" t="inlineStr">
        <is>
          <t>D(2016)</t>
        </is>
      </c>
      <c r="O2" s="14" t="inlineStr">
        <is>
          <t>D(2025)</t>
        </is>
      </c>
    </row>
    <row r="3">
      <c r="A3" s="5" t="inlineStr">
        <is>
          <t>S1 人均一般公共预算收入</t>
        </is>
      </c>
      <c r="B3" s="5" t="inlineStr">
        <is>
          <t>安全 S</t>
        </is>
      </c>
      <c r="C3" s="18">
        <f>(AVERAGE(AVERAGE('3_标准化'!C4,'3_标准化'!C5,'3_标准化'!C6),AVERAGE('3_标准化'!C7,'3_标准化'!C8,'3_标准化'!C9,'3_标准化'!C10,'3_标准化'!C11),AVERAGE('3_标准化'!C12,'3_标准化'!C13,'3_标准化'!C14,'3_标准化'!C15))-VAR.P(AVERAGE('3_标准化'!C4,'3_标准化'!C5,'3_标准化'!C6),AVERAGE('3_标准化'!C7,'3_标准化'!C8,'3_标准化'!C9,'3_标准化'!C10,'3_标准化'!C11),AVERAGE('3_标准化'!C12,'3_标准化'!C13,'3_标准化'!C14,'3_标准化'!C15))/AVERAGE(AVERAGE('3_标准化'!C4,'3_标准化'!C5,'3_标准化'!C6),AVERAGE('3_标准化'!C7,'3_标准化'!C8,'3_标准化'!C9,'3_标准化'!C10,'3_标准化'!C11),AVERAGE('3_标准化'!C12,'3_标准化'!C13,'3_标准化'!C14,'3_标准化'!C15)))</f>
        <v/>
      </c>
      <c r="D3" s="18">
        <f>(AVERAGE(AVERAGE('3_标准化'!D4,'3_标准化'!D5,'3_标准化'!D6),AVERAGE('3_标准化'!D7,'3_标准化'!D8,'3_标准化'!D9,'3_标准化'!D10,'3_标准化'!D11),AVERAGE('3_标准化'!D12,'3_标准化'!D13,'3_标准化'!D14,'3_标准化'!D15))-VAR.P(AVERAGE('3_标准化'!D4,'3_标准化'!D5,'3_标准化'!D6),AVERAGE('3_标准化'!D7,'3_标准化'!D8,'3_标准化'!D9,'3_标准化'!D10,'3_标准化'!D11),AVERAGE('3_标准化'!D12,'3_标准化'!D13,'3_标准化'!D14,'3_标准化'!D15))/AVERAGE(AVERAGE('3_标准化'!D4,'3_标准化'!D5,'3_标准化'!D6),AVERAGE('3_标准化'!D7,'3_标准化'!D8,'3_标准化'!D9,'3_标准化'!D10,'3_标准化'!D11),AVERAGE('3_标准化'!D12,'3_标准化'!D13,'3_标准化'!D14,'3_标准化'!D15)))</f>
        <v/>
      </c>
      <c r="E3" s="18">
        <f>(AVERAGE(AVERAGE('3_标准化'!E4,'3_标准化'!E5,'3_标准化'!E6),AVERAGE('3_标准化'!E7,'3_标准化'!E8,'3_标准化'!E9,'3_标准化'!E10,'3_标准化'!E11),AVERAGE('3_标准化'!E12,'3_标准化'!E13,'3_标准化'!E14,'3_标准化'!E15))-VAR.P(AVERAGE('3_标准化'!E4,'3_标准化'!E5,'3_标准化'!E6),AVERAGE('3_标准化'!E7,'3_标准化'!E8,'3_标准化'!E9,'3_标准化'!E10,'3_标准化'!E11),AVERAGE('3_标准化'!E12,'3_标准化'!E13,'3_标准化'!E14,'3_标准化'!E15))/AVERAGE(AVERAGE('3_标准化'!E4,'3_标准化'!E5,'3_标准化'!E6),AVERAGE('3_标准化'!E7,'3_标准化'!E8,'3_标准化'!E9,'3_标准化'!E10,'3_标准化'!E11),AVERAGE('3_标准化'!E12,'3_标准化'!E13,'3_标准化'!E14,'3_标准化'!E15)))</f>
        <v/>
      </c>
      <c r="F3" s="18">
        <f>(AVERAGE(AVERAGE('3_标准化'!F4,'3_标准化'!F5,'3_标准化'!F6),AVERAGE('3_标准化'!F7,'3_标准化'!F8,'3_标准化'!F9,'3_标准化'!F10,'3_标准化'!F11),AVERAGE('3_标准化'!F12,'3_标准化'!F13,'3_标准化'!F14,'3_标准化'!F15))-VAR.P(AVERAGE('3_标准化'!F4,'3_标准化'!F5,'3_标准化'!F6),AVERAGE('3_标准化'!F7,'3_标准化'!F8,'3_标准化'!F9,'3_标准化'!F10,'3_标准化'!F11),AVERAGE('3_标准化'!F12,'3_标准化'!F13,'3_标准化'!F14,'3_标准化'!F15))/AVERAGE(AVERAGE('3_标准化'!F4,'3_标准化'!F5,'3_标准化'!F6),AVERAGE('3_标准化'!F7,'3_标准化'!F8,'3_标准化'!F9,'3_标准化'!F10,'3_标准化'!F11),AVERAGE('3_标准化'!F12,'3_标准化'!F13,'3_标准化'!F14,'3_标准化'!F15)))</f>
        <v/>
      </c>
      <c r="G3" s="18">
        <f>(AVERAGE(AVERAGE('3_标准化'!G4,'3_标准化'!G5,'3_标准化'!G6),AVERAGE('3_标准化'!G7,'3_标准化'!G8,'3_标准化'!G9,'3_标准化'!G10,'3_标准化'!G11),AVERAGE('3_标准化'!G12,'3_标准化'!G13,'3_标准化'!G14,'3_标准化'!G15))-VAR.P(AVERAGE('3_标准化'!G4,'3_标准化'!G5,'3_标准化'!G6),AVERAGE('3_标准化'!G7,'3_标准化'!G8,'3_标准化'!G9,'3_标准化'!G10,'3_标准化'!G11),AVERAGE('3_标准化'!G12,'3_标准化'!G13,'3_标准化'!G14,'3_标准化'!G15))/AVERAGE(AVERAGE('3_标准化'!G4,'3_标准化'!G5,'3_标准化'!G6),AVERAGE('3_标准化'!G7,'3_标准化'!G8,'3_标准化'!G9,'3_标准化'!G10,'3_标准化'!G11),AVERAGE('3_标准化'!G12,'3_标准化'!G13,'3_标准化'!G14,'3_标准化'!G15)))</f>
        <v/>
      </c>
      <c r="H3" s="18">
        <f>(AVERAGE(AVERAGE('3_标准化'!H4,'3_标准化'!H5,'3_标准化'!H6),AVERAGE('3_标准化'!H7,'3_标准化'!H8,'3_标准化'!H9,'3_标准化'!H10,'3_标准化'!H11),AVERAGE('3_标准化'!H12,'3_标准化'!H13,'3_标准化'!H14,'3_标准化'!H15))-VAR.P(AVERAGE('3_标准化'!H4,'3_标准化'!H5,'3_标准化'!H6),AVERAGE('3_标准化'!H7,'3_标准化'!H8,'3_标准化'!H9,'3_标准化'!H10,'3_标准化'!H11),AVERAGE('3_标准化'!H12,'3_标准化'!H13,'3_标准化'!H14,'3_标准化'!H15))/AVERAGE(AVERAGE('3_标准化'!H4,'3_标准化'!H5,'3_标准化'!H6),AVERAGE('3_标准化'!H7,'3_标准化'!H8,'3_标准化'!H9,'3_标准化'!H10,'3_标准化'!H11),AVERAGE('3_标准化'!H12,'3_标准化'!H13,'3_标准化'!H14,'3_标准化'!H15)))</f>
        <v/>
      </c>
      <c r="I3" s="18">
        <f>(AVERAGE(AVERAGE('3_标准化'!I4,'3_标准化'!I5,'3_标准化'!I6),AVERAGE('3_标准化'!I7,'3_标准化'!I8,'3_标准化'!I9,'3_标准化'!I10,'3_标准化'!I11),AVERAGE('3_标准化'!I12,'3_标准化'!I13,'3_标准化'!I14,'3_标准化'!I15))-VAR.P(AVERAGE('3_标准化'!I4,'3_标准化'!I5,'3_标准化'!I6),AVERAGE('3_标准化'!I7,'3_标准化'!I8,'3_标准化'!I9,'3_标准化'!I10,'3_标准化'!I11),AVERAGE('3_标准化'!I12,'3_标准化'!I13,'3_标准化'!I14,'3_标准化'!I15))/AVERAGE(AVERAGE('3_标准化'!I4,'3_标准化'!I5,'3_标准化'!I6),AVERAGE('3_标准化'!I7,'3_标准化'!I8,'3_标准化'!I9,'3_标准化'!I10,'3_标准化'!I11),AVERAGE('3_标准化'!I12,'3_标准化'!I13,'3_标准化'!I14,'3_标准化'!I15)))</f>
        <v/>
      </c>
      <c r="J3" s="18">
        <f>(AVERAGE(AVERAGE('3_标准化'!J4,'3_标准化'!J5,'3_标准化'!J6),AVERAGE('3_标准化'!J7,'3_标准化'!J8,'3_标准化'!J9,'3_标准化'!J10,'3_标准化'!J11),AVERAGE('3_标准化'!J12,'3_标准化'!J13,'3_标准化'!J14,'3_标准化'!J15))-VAR.P(AVERAGE('3_标准化'!J4,'3_标准化'!J5,'3_标准化'!J6),AVERAGE('3_标准化'!J7,'3_标准化'!J8,'3_标准化'!J9,'3_标准化'!J10,'3_标准化'!J11),AVERAGE('3_标准化'!J12,'3_标准化'!J13,'3_标准化'!J14,'3_标准化'!J15))/AVERAGE(AVERAGE('3_标准化'!J4,'3_标准化'!J5,'3_标准化'!J6),AVERAGE('3_标准化'!J7,'3_标准化'!J8,'3_标准化'!J9,'3_标准化'!J10,'3_标准化'!J11),AVERAGE('3_标准化'!J12,'3_标准化'!J13,'3_标准化'!J14,'3_标准化'!J15)))</f>
        <v/>
      </c>
      <c r="K3" s="18">
        <f>(AVERAGE(AVERAGE('3_标准化'!K4,'3_标准化'!K5,'3_标准化'!K6),AVERAGE('3_标准化'!K7,'3_标准化'!K8,'3_标准化'!K9,'3_标准化'!K10,'3_标准化'!K11),AVERAGE('3_标准化'!K12,'3_标准化'!K13,'3_标准化'!K14,'3_标准化'!K15))-VAR.P(AVERAGE('3_标准化'!K4,'3_标准化'!K5,'3_标准化'!K6),AVERAGE('3_标准化'!K7,'3_标准化'!K8,'3_标准化'!K9,'3_标准化'!K10,'3_标准化'!K11),AVERAGE('3_标准化'!K12,'3_标准化'!K13,'3_标准化'!K14,'3_标准化'!K15))/AVERAGE(AVERAGE('3_标准化'!K4,'3_标准化'!K5,'3_标准化'!K6),AVERAGE('3_标准化'!K7,'3_标准化'!K8,'3_标准化'!K9,'3_标准化'!K10,'3_标准化'!K11),AVERAGE('3_标准化'!K12,'3_标准化'!K13,'3_标准化'!K14,'3_标准化'!K15)))</f>
        <v/>
      </c>
      <c r="L3" s="18">
        <f>(AVERAGE(AVERAGE('3_标准化'!L4,'3_标准化'!L5,'3_标准化'!L6),AVERAGE('3_标准化'!L7,'3_标准化'!L8,'3_标准化'!L9,'3_标准化'!L10,'3_标准化'!L11),AVERAGE('3_标准化'!L12,'3_标准化'!L13,'3_标准化'!L14,'3_标准化'!L15))-VAR.P(AVERAGE('3_标准化'!L4,'3_标准化'!L5,'3_标准化'!L6),AVERAGE('3_标准化'!L7,'3_标准化'!L8,'3_标准化'!L9,'3_标准化'!L10,'3_标准化'!L11),AVERAGE('3_标准化'!L12,'3_标准化'!L13,'3_标准化'!L14,'3_标准化'!L15))/AVERAGE(AVERAGE('3_标准化'!L4,'3_标准化'!L5,'3_标准化'!L6),AVERAGE('3_标准化'!L7,'3_标准化'!L8,'3_标准化'!L9,'3_标准化'!L10,'3_标准化'!L11),AVERAGE('3_标准化'!L12,'3_标准化'!L13,'3_标准化'!L14,'3_标准化'!L15)))</f>
        <v/>
      </c>
      <c r="M3" s="5">
        <f>IF(AVERAGE('3_标准化'!C7,'3_标准化'!C8,'3_标准化'!C9,'3_标准化'!C10,'3_标准化'!C11)=MIN(AVERAGE('3_标准化'!C4,'3_标准化'!C5,'3_标准化'!C6),AVERAGE('3_标准化'!C7,'3_标准化'!C8,'3_标准化'!C9,'3_标准化'!C10,'3_标准化'!C11),AVERAGE('3_标准化'!C12,'3_标准化'!C13,'3_标准化'!C14,'3_标准化'!C15)),1,0)+IF(AVERAGE('3_标准化'!D7,'3_标准化'!D8,'3_标准化'!D9,'3_标准化'!D10,'3_标准化'!D11)=MIN(AVERAGE('3_标准化'!D4,'3_标准化'!D5,'3_标准化'!D6),AVERAGE('3_标准化'!D7,'3_标准化'!D8,'3_标准化'!D9,'3_标准化'!D10,'3_标准化'!D11),AVERAGE('3_标准化'!D12,'3_标准化'!D13,'3_标准化'!D14,'3_标准化'!D15)),1,0)+IF(AVERAGE('3_标准化'!E7,'3_标准化'!E8,'3_标准化'!E9,'3_标准化'!E10,'3_标准化'!E11)=MIN(AVERAGE('3_标准化'!E4,'3_标准化'!E5,'3_标准化'!E6),AVERAGE('3_标准化'!E7,'3_标准化'!E8,'3_标准化'!E9,'3_标准化'!E10,'3_标准化'!E11),AVERAGE('3_标准化'!E12,'3_标准化'!E13,'3_标准化'!E14,'3_标准化'!E15)),1,0)+IF(AVERAGE('3_标准化'!F7,'3_标准化'!F8,'3_标准化'!F9,'3_标准化'!F10,'3_标准化'!F11)=MIN(AVERAGE('3_标准化'!F4,'3_标准化'!F5,'3_标准化'!F6),AVERAGE('3_标准化'!F7,'3_标准化'!F8,'3_标准化'!F9,'3_标准化'!F10,'3_标准化'!F11),AVERAGE('3_标准化'!F12,'3_标准化'!F13,'3_标准化'!F14,'3_标准化'!F15)),1,0)+IF(AVERAGE('3_标准化'!G7,'3_标准化'!G8,'3_标准化'!G9,'3_标准化'!G10,'3_标准化'!G11)=MIN(AVERAGE('3_标准化'!G4,'3_标准化'!G5,'3_标准化'!G6),AVERAGE('3_标准化'!G7,'3_标准化'!G8,'3_标准化'!G9,'3_标准化'!G10,'3_标准化'!G11),AVERAGE('3_标准化'!G12,'3_标准化'!G13,'3_标准化'!G14,'3_标准化'!G15)),1,0)+IF(AVERAGE('3_标准化'!H7,'3_标准化'!H8,'3_标准化'!H9,'3_标准化'!H10,'3_标准化'!H11)=MIN(AVERAGE('3_标准化'!H4,'3_标准化'!H5,'3_标准化'!H6),AVERAGE('3_标准化'!H7,'3_标准化'!H8,'3_标准化'!H9,'3_标准化'!H10,'3_标准化'!H11),AVERAGE('3_标准化'!H12,'3_标准化'!H13,'3_标准化'!H14,'3_标准化'!H15)),1,0)+IF(AVERAGE('3_标准化'!I7,'3_标准化'!I8,'3_标准化'!I9,'3_标准化'!I10,'3_标准化'!I11)=MIN(AVERAGE('3_标准化'!I4,'3_标准化'!I5,'3_标准化'!I6),AVERAGE('3_标准化'!I7,'3_标准化'!I8,'3_标准化'!I9,'3_标准化'!I10,'3_标准化'!I11),AVERAGE('3_标准化'!I12,'3_标准化'!I13,'3_标准化'!I14,'3_标准化'!I15)),1,0)+IF(AVERAGE('3_标准化'!J7,'3_标准化'!J8,'3_标准化'!J9,'3_标准化'!J10,'3_标准化'!J11)=MIN(AVERAGE('3_标准化'!J4,'3_标准化'!J5,'3_标准化'!J6),AVERAGE('3_标准化'!J7,'3_标准化'!J8,'3_标准化'!J9,'3_标准化'!J10,'3_标准化'!J11),AVERAGE('3_标准化'!J12,'3_标准化'!J13,'3_标准化'!J14,'3_标准化'!J15)),1,0)+IF(AVERAGE('3_标准化'!K7,'3_标准化'!K8,'3_标准化'!K9,'3_标准化'!K10,'3_标准化'!K11)=MIN(AVERAGE('3_标准化'!K4,'3_标准化'!K5,'3_标准化'!K6),AVERAGE('3_标准化'!K7,'3_标准化'!K8,'3_标准化'!K9,'3_标准化'!K10,'3_标准化'!K11),AVERAGE('3_标准化'!K12,'3_标准化'!K13,'3_标准化'!K14,'3_标准化'!K15)),1,0)+IF(AVERAGE('3_标准化'!L7,'3_标准化'!L8,'3_标准化'!L9,'3_标准化'!L10,'3_标准化'!L11)=MIN(AVERAGE('3_标准化'!L4,'3_标准化'!L5,'3_标准化'!L6),AVERAGE('3_标准化'!L7,'3_标准化'!L8,'3_标准化'!L9,'3_标准化'!L10,'3_标准化'!L11),AVERAGE('3_标准化'!L12,'3_标准化'!L13,'3_标准化'!L14,'3_标准化'!L15)),1,0)</f>
        <v/>
      </c>
      <c r="N3" s="18">
        <f>C3</f>
        <v/>
      </c>
      <c r="O3" s="20">
        <f>L3</f>
        <v/>
      </c>
    </row>
    <row r="4">
      <c r="A4" s="5" t="inlineStr">
        <is>
          <t>S2 城乡居民收入比与全国差距</t>
        </is>
      </c>
      <c r="B4" s="5" t="inlineStr">
        <is>
          <t>安全 S</t>
        </is>
      </c>
      <c r="C4" s="18">
        <f>(AVERAGE(AVERAGE('3_标准化'!C3,'3_标准化'!C5,'3_标准化'!C6),AVERAGE('3_标准化'!C7,'3_标准化'!C8,'3_标准化'!C9,'3_标准化'!C10,'3_标准化'!C11),AVERAGE('3_标准化'!C12,'3_标准化'!C13,'3_标准化'!C14,'3_标准化'!C15))-VAR.P(AVERAGE('3_标准化'!C3,'3_标准化'!C5,'3_标准化'!C6),AVERAGE('3_标准化'!C7,'3_标准化'!C8,'3_标准化'!C9,'3_标准化'!C10,'3_标准化'!C11),AVERAGE('3_标准化'!C12,'3_标准化'!C13,'3_标准化'!C14,'3_标准化'!C15))/AVERAGE(AVERAGE('3_标准化'!C3,'3_标准化'!C5,'3_标准化'!C6),AVERAGE('3_标准化'!C7,'3_标准化'!C8,'3_标准化'!C9,'3_标准化'!C10,'3_标准化'!C11),AVERAGE('3_标准化'!C12,'3_标准化'!C13,'3_标准化'!C14,'3_标准化'!C15)))</f>
        <v/>
      </c>
      <c r="D4" s="18">
        <f>(AVERAGE(AVERAGE('3_标准化'!D3,'3_标准化'!D5,'3_标准化'!D6),AVERAGE('3_标准化'!D7,'3_标准化'!D8,'3_标准化'!D9,'3_标准化'!D10,'3_标准化'!D11),AVERAGE('3_标准化'!D12,'3_标准化'!D13,'3_标准化'!D14,'3_标准化'!D15))-VAR.P(AVERAGE('3_标准化'!D3,'3_标准化'!D5,'3_标准化'!D6),AVERAGE('3_标准化'!D7,'3_标准化'!D8,'3_标准化'!D9,'3_标准化'!D10,'3_标准化'!D11),AVERAGE('3_标准化'!D12,'3_标准化'!D13,'3_标准化'!D14,'3_标准化'!D15))/AVERAGE(AVERAGE('3_标准化'!D3,'3_标准化'!D5,'3_标准化'!D6),AVERAGE('3_标准化'!D7,'3_标准化'!D8,'3_标准化'!D9,'3_标准化'!D10,'3_标准化'!D11),AVERAGE('3_标准化'!D12,'3_标准化'!D13,'3_标准化'!D14,'3_标准化'!D15)))</f>
        <v/>
      </c>
      <c r="E4" s="18">
        <f>(AVERAGE(AVERAGE('3_标准化'!E3,'3_标准化'!E5,'3_标准化'!E6),AVERAGE('3_标准化'!E7,'3_标准化'!E8,'3_标准化'!E9,'3_标准化'!E10,'3_标准化'!E11),AVERAGE('3_标准化'!E12,'3_标准化'!E13,'3_标准化'!E14,'3_标准化'!E15))-VAR.P(AVERAGE('3_标准化'!E3,'3_标准化'!E5,'3_标准化'!E6),AVERAGE('3_标准化'!E7,'3_标准化'!E8,'3_标准化'!E9,'3_标准化'!E10,'3_标准化'!E11),AVERAGE('3_标准化'!E12,'3_标准化'!E13,'3_标准化'!E14,'3_标准化'!E15))/AVERAGE(AVERAGE('3_标准化'!E3,'3_标准化'!E5,'3_标准化'!E6),AVERAGE('3_标准化'!E7,'3_标准化'!E8,'3_标准化'!E9,'3_标准化'!E10,'3_标准化'!E11),AVERAGE('3_标准化'!E12,'3_标准化'!E13,'3_标准化'!E14,'3_标准化'!E15)))</f>
        <v/>
      </c>
      <c r="F4" s="18">
        <f>(AVERAGE(AVERAGE('3_标准化'!F3,'3_标准化'!F5,'3_标准化'!F6),AVERAGE('3_标准化'!F7,'3_标准化'!F8,'3_标准化'!F9,'3_标准化'!F10,'3_标准化'!F11),AVERAGE('3_标准化'!F12,'3_标准化'!F13,'3_标准化'!F14,'3_标准化'!F15))-VAR.P(AVERAGE('3_标准化'!F3,'3_标准化'!F5,'3_标准化'!F6),AVERAGE('3_标准化'!F7,'3_标准化'!F8,'3_标准化'!F9,'3_标准化'!F10,'3_标准化'!F11),AVERAGE('3_标准化'!F12,'3_标准化'!F13,'3_标准化'!F14,'3_标准化'!F15))/AVERAGE(AVERAGE('3_标准化'!F3,'3_标准化'!F5,'3_标准化'!F6),AVERAGE('3_标准化'!F7,'3_标准化'!F8,'3_标准化'!F9,'3_标准化'!F10,'3_标准化'!F11),AVERAGE('3_标准化'!F12,'3_标准化'!F13,'3_标准化'!F14,'3_标准化'!F15)))</f>
        <v/>
      </c>
      <c r="G4" s="18">
        <f>(AVERAGE(AVERAGE('3_标准化'!G3,'3_标准化'!G5,'3_标准化'!G6),AVERAGE('3_标准化'!G7,'3_标准化'!G8,'3_标准化'!G9,'3_标准化'!G10,'3_标准化'!G11),AVERAGE('3_标准化'!G12,'3_标准化'!G13,'3_标准化'!G14,'3_标准化'!G15))-VAR.P(AVERAGE('3_标准化'!G3,'3_标准化'!G5,'3_标准化'!G6),AVERAGE('3_标准化'!G7,'3_标准化'!G8,'3_标准化'!G9,'3_标准化'!G10,'3_标准化'!G11),AVERAGE('3_标准化'!G12,'3_标准化'!G13,'3_标准化'!G14,'3_标准化'!G15))/AVERAGE(AVERAGE('3_标准化'!G3,'3_标准化'!G5,'3_标准化'!G6),AVERAGE('3_标准化'!G7,'3_标准化'!G8,'3_标准化'!G9,'3_标准化'!G10,'3_标准化'!G11),AVERAGE('3_标准化'!G12,'3_标准化'!G13,'3_标准化'!G14,'3_标准化'!G15)))</f>
        <v/>
      </c>
      <c r="H4" s="18">
        <f>(AVERAGE(AVERAGE('3_标准化'!H3,'3_标准化'!H5,'3_标准化'!H6),AVERAGE('3_标准化'!H7,'3_标准化'!H8,'3_标准化'!H9,'3_标准化'!H10,'3_标准化'!H11),AVERAGE('3_标准化'!H12,'3_标准化'!H13,'3_标准化'!H14,'3_标准化'!H15))-VAR.P(AVERAGE('3_标准化'!H3,'3_标准化'!H5,'3_标准化'!H6),AVERAGE('3_标准化'!H7,'3_标准化'!H8,'3_标准化'!H9,'3_标准化'!H10,'3_标准化'!H11),AVERAGE('3_标准化'!H12,'3_标准化'!H13,'3_标准化'!H14,'3_标准化'!H15))/AVERAGE(AVERAGE('3_标准化'!H3,'3_标准化'!H5,'3_标准化'!H6),AVERAGE('3_标准化'!H7,'3_标准化'!H8,'3_标准化'!H9,'3_标准化'!H10,'3_标准化'!H11),AVERAGE('3_标准化'!H12,'3_标准化'!H13,'3_标准化'!H14,'3_标准化'!H15)))</f>
        <v/>
      </c>
      <c r="I4" s="18">
        <f>(AVERAGE(AVERAGE('3_标准化'!I3,'3_标准化'!I5,'3_标准化'!I6),AVERAGE('3_标准化'!I7,'3_标准化'!I8,'3_标准化'!I9,'3_标准化'!I10,'3_标准化'!I11),AVERAGE('3_标准化'!I12,'3_标准化'!I13,'3_标准化'!I14,'3_标准化'!I15))-VAR.P(AVERAGE('3_标准化'!I3,'3_标准化'!I5,'3_标准化'!I6),AVERAGE('3_标准化'!I7,'3_标准化'!I8,'3_标准化'!I9,'3_标准化'!I10,'3_标准化'!I11),AVERAGE('3_标准化'!I12,'3_标准化'!I13,'3_标准化'!I14,'3_标准化'!I15))/AVERAGE(AVERAGE('3_标准化'!I3,'3_标准化'!I5,'3_标准化'!I6),AVERAGE('3_标准化'!I7,'3_标准化'!I8,'3_标准化'!I9,'3_标准化'!I10,'3_标准化'!I11),AVERAGE('3_标准化'!I12,'3_标准化'!I13,'3_标准化'!I14,'3_标准化'!I15)))</f>
        <v/>
      </c>
      <c r="J4" s="18">
        <f>(AVERAGE(AVERAGE('3_标准化'!J3,'3_标准化'!J5,'3_标准化'!J6),AVERAGE('3_标准化'!J7,'3_标准化'!J8,'3_标准化'!J9,'3_标准化'!J10,'3_标准化'!J11),AVERAGE('3_标准化'!J12,'3_标准化'!J13,'3_标准化'!J14,'3_标准化'!J15))-VAR.P(AVERAGE('3_标准化'!J3,'3_标准化'!J5,'3_标准化'!J6),AVERAGE('3_标准化'!J7,'3_标准化'!J8,'3_标准化'!J9,'3_标准化'!J10,'3_标准化'!J11),AVERAGE('3_标准化'!J12,'3_标准化'!J13,'3_标准化'!J14,'3_标准化'!J15))/AVERAGE(AVERAGE('3_标准化'!J3,'3_标准化'!J5,'3_标准化'!J6),AVERAGE('3_标准化'!J7,'3_标准化'!J8,'3_标准化'!J9,'3_标准化'!J10,'3_标准化'!J11),AVERAGE('3_标准化'!J12,'3_标准化'!J13,'3_标准化'!J14,'3_标准化'!J15)))</f>
        <v/>
      </c>
      <c r="K4" s="18">
        <f>(AVERAGE(AVERAGE('3_标准化'!K3,'3_标准化'!K5,'3_标准化'!K6),AVERAGE('3_标准化'!K7,'3_标准化'!K8,'3_标准化'!K9,'3_标准化'!K10,'3_标准化'!K11),AVERAGE('3_标准化'!K12,'3_标准化'!K13,'3_标准化'!K14,'3_标准化'!K15))-VAR.P(AVERAGE('3_标准化'!K3,'3_标准化'!K5,'3_标准化'!K6),AVERAGE('3_标准化'!K7,'3_标准化'!K8,'3_标准化'!K9,'3_标准化'!K10,'3_标准化'!K11),AVERAGE('3_标准化'!K12,'3_标准化'!K13,'3_标准化'!K14,'3_标准化'!K15))/AVERAGE(AVERAGE('3_标准化'!K3,'3_标准化'!K5,'3_标准化'!K6),AVERAGE('3_标准化'!K7,'3_标准化'!K8,'3_标准化'!K9,'3_标准化'!K10,'3_标准化'!K11),AVERAGE('3_标准化'!K12,'3_标准化'!K13,'3_标准化'!K14,'3_标准化'!K15)))</f>
        <v/>
      </c>
      <c r="L4" s="18">
        <f>(AVERAGE(AVERAGE('3_标准化'!L3,'3_标准化'!L5,'3_标准化'!L6),AVERAGE('3_标准化'!L7,'3_标准化'!L8,'3_标准化'!L9,'3_标准化'!L10,'3_标准化'!L11),AVERAGE('3_标准化'!L12,'3_标准化'!L13,'3_标准化'!L14,'3_标准化'!L15))-VAR.P(AVERAGE('3_标准化'!L3,'3_标准化'!L5,'3_标准化'!L6),AVERAGE('3_标准化'!L7,'3_标准化'!L8,'3_标准化'!L9,'3_标准化'!L10,'3_标准化'!L11),AVERAGE('3_标准化'!L12,'3_标准化'!L13,'3_标准化'!L14,'3_标准化'!L15))/AVERAGE(AVERAGE('3_标准化'!L3,'3_标准化'!L5,'3_标准化'!L6),AVERAGE('3_标准化'!L7,'3_标准化'!L8,'3_标准化'!L9,'3_标准化'!L10,'3_标准化'!L11),AVERAGE('3_标准化'!L12,'3_标准化'!L13,'3_标准化'!L14,'3_标准化'!L15)))</f>
        <v/>
      </c>
      <c r="M4" s="5">
        <f>IF(AVERAGE('3_标准化'!C7,'3_标准化'!C8,'3_标准化'!C9,'3_标准化'!C10,'3_标准化'!C11)=MIN(AVERAGE('3_标准化'!C3,'3_标准化'!C5,'3_标准化'!C6),AVERAGE('3_标准化'!C7,'3_标准化'!C8,'3_标准化'!C9,'3_标准化'!C10,'3_标准化'!C11),AVERAGE('3_标准化'!C12,'3_标准化'!C13,'3_标准化'!C14,'3_标准化'!C15)),1,0)+IF(AVERAGE('3_标准化'!D7,'3_标准化'!D8,'3_标准化'!D9,'3_标准化'!D10,'3_标准化'!D11)=MIN(AVERAGE('3_标准化'!D3,'3_标准化'!D5,'3_标准化'!D6),AVERAGE('3_标准化'!D7,'3_标准化'!D8,'3_标准化'!D9,'3_标准化'!D10,'3_标准化'!D11),AVERAGE('3_标准化'!D12,'3_标准化'!D13,'3_标准化'!D14,'3_标准化'!D15)),1,0)+IF(AVERAGE('3_标准化'!E7,'3_标准化'!E8,'3_标准化'!E9,'3_标准化'!E10,'3_标准化'!E11)=MIN(AVERAGE('3_标准化'!E3,'3_标准化'!E5,'3_标准化'!E6),AVERAGE('3_标准化'!E7,'3_标准化'!E8,'3_标准化'!E9,'3_标准化'!E10,'3_标准化'!E11),AVERAGE('3_标准化'!E12,'3_标准化'!E13,'3_标准化'!E14,'3_标准化'!E15)),1,0)+IF(AVERAGE('3_标准化'!F7,'3_标准化'!F8,'3_标准化'!F9,'3_标准化'!F10,'3_标准化'!F11)=MIN(AVERAGE('3_标准化'!F3,'3_标准化'!F5,'3_标准化'!F6),AVERAGE('3_标准化'!F7,'3_标准化'!F8,'3_标准化'!F9,'3_标准化'!F10,'3_标准化'!F11),AVERAGE('3_标准化'!F12,'3_标准化'!F13,'3_标准化'!F14,'3_标准化'!F15)),1,0)+IF(AVERAGE('3_标准化'!G7,'3_标准化'!G8,'3_标准化'!G9,'3_标准化'!G10,'3_标准化'!G11)=MIN(AVERAGE('3_标准化'!G3,'3_标准化'!G5,'3_标准化'!G6),AVERAGE('3_标准化'!G7,'3_标准化'!G8,'3_标准化'!G9,'3_标准化'!G10,'3_标准化'!G11),AVERAGE('3_标准化'!G12,'3_标准化'!G13,'3_标准化'!G14,'3_标准化'!G15)),1,0)+IF(AVERAGE('3_标准化'!H7,'3_标准化'!H8,'3_标准化'!H9,'3_标准化'!H10,'3_标准化'!H11)=MIN(AVERAGE('3_标准化'!H3,'3_标准化'!H5,'3_标准化'!H6),AVERAGE('3_标准化'!H7,'3_标准化'!H8,'3_标准化'!H9,'3_标准化'!H10,'3_标准化'!H11),AVERAGE('3_标准化'!H12,'3_标准化'!H13,'3_标准化'!H14,'3_标准化'!H15)),1,0)+IF(AVERAGE('3_标准化'!I7,'3_标准化'!I8,'3_标准化'!I9,'3_标准化'!I10,'3_标准化'!I11)=MIN(AVERAGE('3_标准化'!I3,'3_标准化'!I5,'3_标准化'!I6),AVERAGE('3_标准化'!I7,'3_标准化'!I8,'3_标准化'!I9,'3_标准化'!I10,'3_标准化'!I11),AVERAGE('3_标准化'!I12,'3_标准化'!I13,'3_标准化'!I14,'3_标准化'!I15)),1,0)+IF(AVERAGE('3_标准化'!J7,'3_标准化'!J8,'3_标准化'!J9,'3_标准化'!J10,'3_标准化'!J11)=MIN(AVERAGE('3_标准化'!J3,'3_标准化'!J5,'3_标准化'!J6),AVERAGE('3_标准化'!J7,'3_标准化'!J8,'3_标准化'!J9,'3_标准化'!J10,'3_标准化'!J11),AVERAGE('3_标准化'!J12,'3_标准化'!J13,'3_标准化'!J14,'3_标准化'!J15)),1,0)+IF(AVERAGE('3_标准化'!K7,'3_标准化'!K8,'3_标准化'!K9,'3_标准化'!K10,'3_标准化'!K11)=MIN(AVERAGE('3_标准化'!K3,'3_标准化'!K5,'3_标准化'!K6),AVERAGE('3_标准化'!K7,'3_标准化'!K8,'3_标准化'!K9,'3_标准化'!K10,'3_标准化'!K11),AVERAGE('3_标准化'!K12,'3_标准化'!K13,'3_标准化'!K14,'3_标准化'!K15)),1,0)+IF(AVERAGE('3_标准化'!L7,'3_标准化'!L8,'3_标准化'!L9,'3_标准化'!L10,'3_标准化'!L11)=MIN(AVERAGE('3_标准化'!L3,'3_标准化'!L5,'3_标准化'!L6),AVERAGE('3_标准化'!L7,'3_标准化'!L8,'3_标准化'!L9,'3_标准化'!L10,'3_标准化'!L11),AVERAGE('3_标准化'!L12,'3_标准化'!L13,'3_标准化'!L14,'3_标准化'!L15)),1,0)</f>
        <v/>
      </c>
      <c r="N4" s="18">
        <f>C4</f>
        <v/>
      </c>
      <c r="O4" s="20">
        <f>L4</f>
        <v/>
      </c>
    </row>
    <row r="5">
      <c r="A5" s="5" t="inlineStr">
        <is>
          <t>S3 居民医保人均财政补助标准</t>
        </is>
      </c>
      <c r="B5" s="5" t="inlineStr">
        <is>
          <t>安全 S</t>
        </is>
      </c>
      <c r="C5" s="18">
        <f>(AVERAGE(AVERAGE('3_标准化'!C3,'3_标准化'!C4,'3_标准化'!C6),AVERAGE('3_标准化'!C7,'3_标准化'!C8,'3_标准化'!C9,'3_标准化'!C10,'3_标准化'!C11),AVERAGE('3_标准化'!C12,'3_标准化'!C13,'3_标准化'!C14,'3_标准化'!C15))-VAR.P(AVERAGE('3_标准化'!C3,'3_标准化'!C4,'3_标准化'!C6),AVERAGE('3_标准化'!C7,'3_标准化'!C8,'3_标准化'!C9,'3_标准化'!C10,'3_标准化'!C11),AVERAGE('3_标准化'!C12,'3_标准化'!C13,'3_标准化'!C14,'3_标准化'!C15))/AVERAGE(AVERAGE('3_标准化'!C3,'3_标准化'!C4,'3_标准化'!C6),AVERAGE('3_标准化'!C7,'3_标准化'!C8,'3_标准化'!C9,'3_标准化'!C10,'3_标准化'!C11),AVERAGE('3_标准化'!C12,'3_标准化'!C13,'3_标准化'!C14,'3_标准化'!C15)))</f>
        <v/>
      </c>
      <c r="D5" s="18">
        <f>(AVERAGE(AVERAGE('3_标准化'!D3,'3_标准化'!D4,'3_标准化'!D6),AVERAGE('3_标准化'!D7,'3_标准化'!D8,'3_标准化'!D9,'3_标准化'!D10,'3_标准化'!D11),AVERAGE('3_标准化'!D12,'3_标准化'!D13,'3_标准化'!D14,'3_标准化'!D15))-VAR.P(AVERAGE('3_标准化'!D3,'3_标准化'!D4,'3_标准化'!D6),AVERAGE('3_标准化'!D7,'3_标准化'!D8,'3_标准化'!D9,'3_标准化'!D10,'3_标准化'!D11),AVERAGE('3_标准化'!D12,'3_标准化'!D13,'3_标准化'!D14,'3_标准化'!D15))/AVERAGE(AVERAGE('3_标准化'!D3,'3_标准化'!D4,'3_标准化'!D6),AVERAGE('3_标准化'!D7,'3_标准化'!D8,'3_标准化'!D9,'3_标准化'!D10,'3_标准化'!D11),AVERAGE('3_标准化'!D12,'3_标准化'!D13,'3_标准化'!D14,'3_标准化'!D15)))</f>
        <v/>
      </c>
      <c r="E5" s="18">
        <f>(AVERAGE(AVERAGE('3_标准化'!E3,'3_标准化'!E4,'3_标准化'!E6),AVERAGE('3_标准化'!E7,'3_标准化'!E8,'3_标准化'!E9,'3_标准化'!E10,'3_标准化'!E11),AVERAGE('3_标准化'!E12,'3_标准化'!E13,'3_标准化'!E14,'3_标准化'!E15))-VAR.P(AVERAGE('3_标准化'!E3,'3_标准化'!E4,'3_标准化'!E6),AVERAGE('3_标准化'!E7,'3_标准化'!E8,'3_标准化'!E9,'3_标准化'!E10,'3_标准化'!E11),AVERAGE('3_标准化'!E12,'3_标准化'!E13,'3_标准化'!E14,'3_标准化'!E15))/AVERAGE(AVERAGE('3_标准化'!E3,'3_标准化'!E4,'3_标准化'!E6),AVERAGE('3_标准化'!E7,'3_标准化'!E8,'3_标准化'!E9,'3_标准化'!E10,'3_标准化'!E11),AVERAGE('3_标准化'!E12,'3_标准化'!E13,'3_标准化'!E14,'3_标准化'!E15)))</f>
        <v/>
      </c>
      <c r="F5" s="18">
        <f>(AVERAGE(AVERAGE('3_标准化'!F3,'3_标准化'!F4,'3_标准化'!F6),AVERAGE('3_标准化'!F7,'3_标准化'!F8,'3_标准化'!F9,'3_标准化'!F10,'3_标准化'!F11),AVERAGE('3_标准化'!F12,'3_标准化'!F13,'3_标准化'!F14,'3_标准化'!F15))-VAR.P(AVERAGE('3_标准化'!F3,'3_标准化'!F4,'3_标准化'!F6),AVERAGE('3_标准化'!F7,'3_标准化'!F8,'3_标准化'!F9,'3_标准化'!F10,'3_标准化'!F11),AVERAGE('3_标准化'!F12,'3_标准化'!F13,'3_标准化'!F14,'3_标准化'!F15))/AVERAGE(AVERAGE('3_标准化'!F3,'3_标准化'!F4,'3_标准化'!F6),AVERAGE('3_标准化'!F7,'3_标准化'!F8,'3_标准化'!F9,'3_标准化'!F10,'3_标准化'!F11),AVERAGE('3_标准化'!F12,'3_标准化'!F13,'3_标准化'!F14,'3_标准化'!F15)))</f>
        <v/>
      </c>
      <c r="G5" s="18">
        <f>(AVERAGE(AVERAGE('3_标准化'!G3,'3_标准化'!G4,'3_标准化'!G6),AVERAGE('3_标准化'!G7,'3_标准化'!G8,'3_标准化'!G9,'3_标准化'!G10,'3_标准化'!G11),AVERAGE('3_标准化'!G12,'3_标准化'!G13,'3_标准化'!G14,'3_标准化'!G15))-VAR.P(AVERAGE('3_标准化'!G3,'3_标准化'!G4,'3_标准化'!G6),AVERAGE('3_标准化'!G7,'3_标准化'!G8,'3_标准化'!G9,'3_标准化'!G10,'3_标准化'!G11),AVERAGE('3_标准化'!G12,'3_标准化'!G13,'3_标准化'!G14,'3_标准化'!G15))/AVERAGE(AVERAGE('3_标准化'!G3,'3_标准化'!G4,'3_标准化'!G6),AVERAGE('3_标准化'!G7,'3_标准化'!G8,'3_标准化'!G9,'3_标准化'!G10,'3_标准化'!G11),AVERAGE('3_标准化'!G12,'3_标准化'!G13,'3_标准化'!G14,'3_标准化'!G15)))</f>
        <v/>
      </c>
      <c r="H5" s="18">
        <f>(AVERAGE(AVERAGE('3_标准化'!H3,'3_标准化'!H4,'3_标准化'!H6),AVERAGE('3_标准化'!H7,'3_标准化'!H8,'3_标准化'!H9,'3_标准化'!H10,'3_标准化'!H11),AVERAGE('3_标准化'!H12,'3_标准化'!H13,'3_标准化'!H14,'3_标准化'!H15))-VAR.P(AVERAGE('3_标准化'!H3,'3_标准化'!H4,'3_标准化'!H6),AVERAGE('3_标准化'!H7,'3_标准化'!H8,'3_标准化'!H9,'3_标准化'!H10,'3_标准化'!H11),AVERAGE('3_标准化'!H12,'3_标准化'!H13,'3_标准化'!H14,'3_标准化'!H15))/AVERAGE(AVERAGE('3_标准化'!H3,'3_标准化'!H4,'3_标准化'!H6),AVERAGE('3_标准化'!H7,'3_标准化'!H8,'3_标准化'!H9,'3_标准化'!H10,'3_标准化'!H11),AVERAGE('3_标准化'!H12,'3_标准化'!H13,'3_标准化'!H14,'3_标准化'!H15)))</f>
        <v/>
      </c>
      <c r="I5" s="18">
        <f>(AVERAGE(AVERAGE('3_标准化'!I3,'3_标准化'!I4,'3_标准化'!I6),AVERAGE('3_标准化'!I7,'3_标准化'!I8,'3_标准化'!I9,'3_标准化'!I10,'3_标准化'!I11),AVERAGE('3_标准化'!I12,'3_标准化'!I13,'3_标准化'!I14,'3_标准化'!I15))-VAR.P(AVERAGE('3_标准化'!I3,'3_标准化'!I4,'3_标准化'!I6),AVERAGE('3_标准化'!I7,'3_标准化'!I8,'3_标准化'!I9,'3_标准化'!I10,'3_标准化'!I11),AVERAGE('3_标准化'!I12,'3_标准化'!I13,'3_标准化'!I14,'3_标准化'!I15))/AVERAGE(AVERAGE('3_标准化'!I3,'3_标准化'!I4,'3_标准化'!I6),AVERAGE('3_标准化'!I7,'3_标准化'!I8,'3_标准化'!I9,'3_标准化'!I10,'3_标准化'!I11),AVERAGE('3_标准化'!I12,'3_标准化'!I13,'3_标准化'!I14,'3_标准化'!I15)))</f>
        <v/>
      </c>
      <c r="J5" s="18">
        <f>(AVERAGE(AVERAGE('3_标准化'!J3,'3_标准化'!J4,'3_标准化'!J6),AVERAGE('3_标准化'!J7,'3_标准化'!J8,'3_标准化'!J9,'3_标准化'!J10,'3_标准化'!J11),AVERAGE('3_标准化'!J12,'3_标准化'!J13,'3_标准化'!J14,'3_标准化'!J15))-VAR.P(AVERAGE('3_标准化'!J3,'3_标准化'!J4,'3_标准化'!J6),AVERAGE('3_标准化'!J7,'3_标准化'!J8,'3_标准化'!J9,'3_标准化'!J10,'3_标准化'!J11),AVERAGE('3_标准化'!J12,'3_标准化'!J13,'3_标准化'!J14,'3_标准化'!J15))/AVERAGE(AVERAGE('3_标准化'!J3,'3_标准化'!J4,'3_标准化'!J6),AVERAGE('3_标准化'!J7,'3_标准化'!J8,'3_标准化'!J9,'3_标准化'!J10,'3_标准化'!J11),AVERAGE('3_标准化'!J12,'3_标准化'!J13,'3_标准化'!J14,'3_标准化'!J15)))</f>
        <v/>
      </c>
      <c r="K5" s="18">
        <f>(AVERAGE(AVERAGE('3_标准化'!K3,'3_标准化'!K4,'3_标准化'!K6),AVERAGE('3_标准化'!K7,'3_标准化'!K8,'3_标准化'!K9,'3_标准化'!K10,'3_标准化'!K11),AVERAGE('3_标准化'!K12,'3_标准化'!K13,'3_标准化'!K14,'3_标准化'!K15))-VAR.P(AVERAGE('3_标准化'!K3,'3_标准化'!K4,'3_标准化'!K6),AVERAGE('3_标准化'!K7,'3_标准化'!K8,'3_标准化'!K9,'3_标准化'!K10,'3_标准化'!K11),AVERAGE('3_标准化'!K12,'3_标准化'!K13,'3_标准化'!K14,'3_标准化'!K15))/AVERAGE(AVERAGE('3_标准化'!K3,'3_标准化'!K4,'3_标准化'!K6),AVERAGE('3_标准化'!K7,'3_标准化'!K8,'3_标准化'!K9,'3_标准化'!K10,'3_标准化'!K11),AVERAGE('3_标准化'!K12,'3_标准化'!K13,'3_标准化'!K14,'3_标准化'!K15)))</f>
        <v/>
      </c>
      <c r="L5" s="18">
        <f>(AVERAGE(AVERAGE('3_标准化'!L3,'3_标准化'!L4,'3_标准化'!L6),AVERAGE('3_标准化'!L7,'3_标准化'!L8,'3_标准化'!L9,'3_标准化'!L10,'3_标准化'!L11),AVERAGE('3_标准化'!L12,'3_标准化'!L13,'3_标准化'!L14,'3_标准化'!L15))-VAR.P(AVERAGE('3_标准化'!L3,'3_标准化'!L4,'3_标准化'!L6),AVERAGE('3_标准化'!L7,'3_标准化'!L8,'3_标准化'!L9,'3_标准化'!L10,'3_标准化'!L11),AVERAGE('3_标准化'!L12,'3_标准化'!L13,'3_标准化'!L14,'3_标准化'!L15))/AVERAGE(AVERAGE('3_标准化'!L3,'3_标准化'!L4,'3_标准化'!L6),AVERAGE('3_标准化'!L7,'3_标准化'!L8,'3_标准化'!L9,'3_标准化'!L10,'3_标准化'!L11),AVERAGE('3_标准化'!L12,'3_标准化'!L13,'3_标准化'!L14,'3_标准化'!L15)))</f>
        <v/>
      </c>
      <c r="M5" s="5">
        <f>IF(AVERAGE('3_标准化'!C7,'3_标准化'!C8,'3_标准化'!C9,'3_标准化'!C10,'3_标准化'!C11)=MIN(AVERAGE('3_标准化'!C3,'3_标准化'!C4,'3_标准化'!C6),AVERAGE('3_标准化'!C7,'3_标准化'!C8,'3_标准化'!C9,'3_标准化'!C10,'3_标准化'!C11),AVERAGE('3_标准化'!C12,'3_标准化'!C13,'3_标准化'!C14,'3_标准化'!C15)),1,0)+IF(AVERAGE('3_标准化'!D7,'3_标准化'!D8,'3_标准化'!D9,'3_标准化'!D10,'3_标准化'!D11)=MIN(AVERAGE('3_标准化'!D3,'3_标准化'!D4,'3_标准化'!D6),AVERAGE('3_标准化'!D7,'3_标准化'!D8,'3_标准化'!D9,'3_标准化'!D10,'3_标准化'!D11),AVERAGE('3_标准化'!D12,'3_标准化'!D13,'3_标准化'!D14,'3_标准化'!D15)),1,0)+IF(AVERAGE('3_标准化'!E7,'3_标准化'!E8,'3_标准化'!E9,'3_标准化'!E10,'3_标准化'!E11)=MIN(AVERAGE('3_标准化'!E3,'3_标准化'!E4,'3_标准化'!E6),AVERAGE('3_标准化'!E7,'3_标准化'!E8,'3_标准化'!E9,'3_标准化'!E10,'3_标准化'!E11),AVERAGE('3_标准化'!E12,'3_标准化'!E13,'3_标准化'!E14,'3_标准化'!E15)),1,0)+IF(AVERAGE('3_标准化'!F7,'3_标准化'!F8,'3_标准化'!F9,'3_标准化'!F10,'3_标准化'!F11)=MIN(AVERAGE('3_标准化'!F3,'3_标准化'!F4,'3_标准化'!F6),AVERAGE('3_标准化'!F7,'3_标准化'!F8,'3_标准化'!F9,'3_标准化'!F10,'3_标准化'!F11),AVERAGE('3_标准化'!F12,'3_标准化'!F13,'3_标准化'!F14,'3_标准化'!F15)),1,0)+IF(AVERAGE('3_标准化'!G7,'3_标准化'!G8,'3_标准化'!G9,'3_标准化'!G10,'3_标准化'!G11)=MIN(AVERAGE('3_标准化'!G3,'3_标准化'!G4,'3_标准化'!G6),AVERAGE('3_标准化'!G7,'3_标准化'!G8,'3_标准化'!G9,'3_标准化'!G10,'3_标准化'!G11),AVERAGE('3_标准化'!G12,'3_标准化'!G13,'3_标准化'!G14,'3_标准化'!G15)),1,0)+IF(AVERAGE('3_标准化'!H7,'3_标准化'!H8,'3_标准化'!H9,'3_标准化'!H10,'3_标准化'!H11)=MIN(AVERAGE('3_标准化'!H3,'3_标准化'!H4,'3_标准化'!H6),AVERAGE('3_标准化'!H7,'3_标准化'!H8,'3_标准化'!H9,'3_标准化'!H10,'3_标准化'!H11),AVERAGE('3_标准化'!H12,'3_标准化'!H13,'3_标准化'!H14,'3_标准化'!H15)),1,0)+IF(AVERAGE('3_标准化'!I7,'3_标准化'!I8,'3_标准化'!I9,'3_标准化'!I10,'3_标准化'!I11)=MIN(AVERAGE('3_标准化'!I3,'3_标准化'!I4,'3_标准化'!I6),AVERAGE('3_标准化'!I7,'3_标准化'!I8,'3_标准化'!I9,'3_标准化'!I10,'3_标准化'!I11),AVERAGE('3_标准化'!I12,'3_标准化'!I13,'3_标准化'!I14,'3_标准化'!I15)),1,0)+IF(AVERAGE('3_标准化'!J7,'3_标准化'!J8,'3_标准化'!J9,'3_标准化'!J10,'3_标准化'!J11)=MIN(AVERAGE('3_标准化'!J3,'3_标准化'!J4,'3_标准化'!J6),AVERAGE('3_标准化'!J7,'3_标准化'!J8,'3_标准化'!J9,'3_标准化'!J10,'3_标准化'!J11),AVERAGE('3_标准化'!J12,'3_标准化'!J13,'3_标准化'!J14,'3_标准化'!J15)),1,0)+IF(AVERAGE('3_标准化'!K7,'3_标准化'!K8,'3_标准化'!K9,'3_标准化'!K10,'3_标准化'!K11)=MIN(AVERAGE('3_标准化'!K3,'3_标准化'!K4,'3_标准化'!K6),AVERAGE('3_标准化'!K7,'3_标准化'!K8,'3_标准化'!K9,'3_标准化'!K10,'3_标准化'!K11),AVERAGE('3_标准化'!K12,'3_标准化'!K13,'3_标准化'!K14,'3_标准化'!K15)),1,0)+IF(AVERAGE('3_标准化'!L7,'3_标准化'!L8,'3_标准化'!L9,'3_标准化'!L10,'3_标准化'!L11)=MIN(AVERAGE('3_标准化'!L3,'3_标准化'!L4,'3_标准化'!L6),AVERAGE('3_标准化'!L7,'3_标准化'!L8,'3_标准化'!L9,'3_标准化'!L10,'3_标准化'!L11),AVERAGE('3_标准化'!L12,'3_标准化'!L13,'3_标准化'!L14,'3_标准化'!L15)),1,0)</f>
        <v/>
      </c>
      <c r="N5" s="18">
        <f>C5</f>
        <v/>
      </c>
      <c r="O5" s="20">
        <f>L5</f>
        <v/>
      </c>
    </row>
    <row r="6">
      <c r="A6" s="5" t="inlineStr">
        <is>
          <t>S4 基本养老保险参保率</t>
        </is>
      </c>
      <c r="B6" s="5" t="inlineStr">
        <is>
          <t>安全 S</t>
        </is>
      </c>
      <c r="C6" s="18">
        <f>(AVERAGE(AVERAGE('3_标准化'!C3,'3_标准化'!C4,'3_标准化'!C5),AVERAGE('3_标准化'!C7,'3_标准化'!C8,'3_标准化'!C9,'3_标准化'!C10,'3_标准化'!C11),AVERAGE('3_标准化'!C12,'3_标准化'!C13,'3_标准化'!C14,'3_标准化'!C15))-VAR.P(AVERAGE('3_标准化'!C3,'3_标准化'!C4,'3_标准化'!C5),AVERAGE('3_标准化'!C7,'3_标准化'!C8,'3_标准化'!C9,'3_标准化'!C10,'3_标准化'!C11),AVERAGE('3_标准化'!C12,'3_标准化'!C13,'3_标准化'!C14,'3_标准化'!C15))/AVERAGE(AVERAGE('3_标准化'!C3,'3_标准化'!C4,'3_标准化'!C5),AVERAGE('3_标准化'!C7,'3_标准化'!C8,'3_标准化'!C9,'3_标准化'!C10,'3_标准化'!C11),AVERAGE('3_标准化'!C12,'3_标准化'!C13,'3_标准化'!C14,'3_标准化'!C15)))</f>
        <v/>
      </c>
      <c r="D6" s="18">
        <f>(AVERAGE(AVERAGE('3_标准化'!D3,'3_标准化'!D4,'3_标准化'!D5),AVERAGE('3_标准化'!D7,'3_标准化'!D8,'3_标准化'!D9,'3_标准化'!D10,'3_标准化'!D11),AVERAGE('3_标准化'!D12,'3_标准化'!D13,'3_标准化'!D14,'3_标准化'!D15))-VAR.P(AVERAGE('3_标准化'!D3,'3_标准化'!D4,'3_标准化'!D5),AVERAGE('3_标准化'!D7,'3_标准化'!D8,'3_标准化'!D9,'3_标准化'!D10,'3_标准化'!D11),AVERAGE('3_标准化'!D12,'3_标准化'!D13,'3_标准化'!D14,'3_标准化'!D15))/AVERAGE(AVERAGE('3_标准化'!D3,'3_标准化'!D4,'3_标准化'!D5),AVERAGE('3_标准化'!D7,'3_标准化'!D8,'3_标准化'!D9,'3_标准化'!D10,'3_标准化'!D11),AVERAGE('3_标准化'!D12,'3_标准化'!D13,'3_标准化'!D14,'3_标准化'!D15)))</f>
        <v/>
      </c>
      <c r="E6" s="18">
        <f>(AVERAGE(AVERAGE('3_标准化'!E3,'3_标准化'!E4,'3_标准化'!E5),AVERAGE('3_标准化'!E7,'3_标准化'!E8,'3_标准化'!E9,'3_标准化'!E10,'3_标准化'!E11),AVERAGE('3_标准化'!E12,'3_标准化'!E13,'3_标准化'!E14,'3_标准化'!E15))-VAR.P(AVERAGE('3_标准化'!E3,'3_标准化'!E4,'3_标准化'!E5),AVERAGE('3_标准化'!E7,'3_标准化'!E8,'3_标准化'!E9,'3_标准化'!E10,'3_标准化'!E11),AVERAGE('3_标准化'!E12,'3_标准化'!E13,'3_标准化'!E14,'3_标准化'!E15))/AVERAGE(AVERAGE('3_标准化'!E3,'3_标准化'!E4,'3_标准化'!E5),AVERAGE('3_标准化'!E7,'3_标准化'!E8,'3_标准化'!E9,'3_标准化'!E10,'3_标准化'!E11),AVERAGE('3_标准化'!E12,'3_标准化'!E13,'3_标准化'!E14,'3_标准化'!E15)))</f>
        <v/>
      </c>
      <c r="F6" s="18">
        <f>(AVERAGE(AVERAGE('3_标准化'!F3,'3_标准化'!F4,'3_标准化'!F5),AVERAGE('3_标准化'!F7,'3_标准化'!F8,'3_标准化'!F9,'3_标准化'!F10,'3_标准化'!F11),AVERAGE('3_标准化'!F12,'3_标准化'!F13,'3_标准化'!F14,'3_标准化'!F15))-VAR.P(AVERAGE('3_标准化'!F3,'3_标准化'!F4,'3_标准化'!F5),AVERAGE('3_标准化'!F7,'3_标准化'!F8,'3_标准化'!F9,'3_标准化'!F10,'3_标准化'!F11),AVERAGE('3_标准化'!F12,'3_标准化'!F13,'3_标准化'!F14,'3_标准化'!F15))/AVERAGE(AVERAGE('3_标准化'!F3,'3_标准化'!F4,'3_标准化'!F5),AVERAGE('3_标准化'!F7,'3_标准化'!F8,'3_标准化'!F9,'3_标准化'!F10,'3_标准化'!F11),AVERAGE('3_标准化'!F12,'3_标准化'!F13,'3_标准化'!F14,'3_标准化'!F15)))</f>
        <v/>
      </c>
      <c r="G6" s="18">
        <f>(AVERAGE(AVERAGE('3_标准化'!G3,'3_标准化'!G4,'3_标准化'!G5),AVERAGE('3_标准化'!G7,'3_标准化'!G8,'3_标准化'!G9,'3_标准化'!G10,'3_标准化'!G11),AVERAGE('3_标准化'!G12,'3_标准化'!G13,'3_标准化'!G14,'3_标准化'!G15))-VAR.P(AVERAGE('3_标准化'!G3,'3_标准化'!G4,'3_标准化'!G5),AVERAGE('3_标准化'!G7,'3_标准化'!G8,'3_标准化'!G9,'3_标准化'!G10,'3_标准化'!G11),AVERAGE('3_标准化'!G12,'3_标准化'!G13,'3_标准化'!G14,'3_标准化'!G15))/AVERAGE(AVERAGE('3_标准化'!G3,'3_标准化'!G4,'3_标准化'!G5),AVERAGE('3_标准化'!G7,'3_标准化'!G8,'3_标准化'!G9,'3_标准化'!G10,'3_标准化'!G11),AVERAGE('3_标准化'!G12,'3_标准化'!G13,'3_标准化'!G14,'3_标准化'!G15)))</f>
        <v/>
      </c>
      <c r="H6" s="18">
        <f>(AVERAGE(AVERAGE('3_标准化'!H3,'3_标准化'!H4,'3_标准化'!H5),AVERAGE('3_标准化'!H7,'3_标准化'!H8,'3_标准化'!H9,'3_标准化'!H10,'3_标准化'!H11),AVERAGE('3_标准化'!H12,'3_标准化'!H13,'3_标准化'!H14,'3_标准化'!H15))-VAR.P(AVERAGE('3_标准化'!H3,'3_标准化'!H4,'3_标准化'!H5),AVERAGE('3_标准化'!H7,'3_标准化'!H8,'3_标准化'!H9,'3_标准化'!H10,'3_标准化'!H11),AVERAGE('3_标准化'!H12,'3_标准化'!H13,'3_标准化'!H14,'3_标准化'!H15))/AVERAGE(AVERAGE('3_标准化'!H3,'3_标准化'!H4,'3_标准化'!H5),AVERAGE('3_标准化'!H7,'3_标准化'!H8,'3_标准化'!H9,'3_标准化'!H10,'3_标准化'!H11),AVERAGE('3_标准化'!H12,'3_标准化'!H13,'3_标准化'!H14,'3_标准化'!H15)))</f>
        <v/>
      </c>
      <c r="I6" s="18">
        <f>(AVERAGE(AVERAGE('3_标准化'!I3,'3_标准化'!I4,'3_标准化'!I5),AVERAGE('3_标准化'!I7,'3_标准化'!I8,'3_标准化'!I9,'3_标准化'!I10,'3_标准化'!I11),AVERAGE('3_标准化'!I12,'3_标准化'!I13,'3_标准化'!I14,'3_标准化'!I15))-VAR.P(AVERAGE('3_标准化'!I3,'3_标准化'!I4,'3_标准化'!I5),AVERAGE('3_标准化'!I7,'3_标准化'!I8,'3_标准化'!I9,'3_标准化'!I10,'3_标准化'!I11),AVERAGE('3_标准化'!I12,'3_标准化'!I13,'3_标准化'!I14,'3_标准化'!I15))/AVERAGE(AVERAGE('3_标准化'!I3,'3_标准化'!I4,'3_标准化'!I5),AVERAGE('3_标准化'!I7,'3_标准化'!I8,'3_标准化'!I9,'3_标准化'!I10,'3_标准化'!I11),AVERAGE('3_标准化'!I12,'3_标准化'!I13,'3_标准化'!I14,'3_标准化'!I15)))</f>
        <v/>
      </c>
      <c r="J6" s="18">
        <f>(AVERAGE(AVERAGE('3_标准化'!J3,'3_标准化'!J4,'3_标准化'!J5),AVERAGE('3_标准化'!J7,'3_标准化'!J8,'3_标准化'!J9,'3_标准化'!J10,'3_标准化'!J11),AVERAGE('3_标准化'!J12,'3_标准化'!J13,'3_标准化'!J14,'3_标准化'!J15))-VAR.P(AVERAGE('3_标准化'!J3,'3_标准化'!J4,'3_标准化'!J5),AVERAGE('3_标准化'!J7,'3_标准化'!J8,'3_标准化'!J9,'3_标准化'!J10,'3_标准化'!J11),AVERAGE('3_标准化'!J12,'3_标准化'!J13,'3_标准化'!J14,'3_标准化'!J15))/AVERAGE(AVERAGE('3_标准化'!J3,'3_标准化'!J4,'3_标准化'!J5),AVERAGE('3_标准化'!J7,'3_标准化'!J8,'3_标准化'!J9,'3_标准化'!J10,'3_标准化'!J11),AVERAGE('3_标准化'!J12,'3_标准化'!J13,'3_标准化'!J14,'3_标准化'!J15)))</f>
        <v/>
      </c>
      <c r="K6" s="18">
        <f>(AVERAGE(AVERAGE('3_标准化'!K3,'3_标准化'!K4,'3_标准化'!K5),AVERAGE('3_标准化'!K7,'3_标准化'!K8,'3_标准化'!K9,'3_标准化'!K10,'3_标准化'!K11),AVERAGE('3_标准化'!K12,'3_标准化'!K13,'3_标准化'!K14,'3_标准化'!K15))-VAR.P(AVERAGE('3_标准化'!K3,'3_标准化'!K4,'3_标准化'!K5),AVERAGE('3_标准化'!K7,'3_标准化'!K8,'3_标准化'!K9,'3_标准化'!K10,'3_标准化'!K11),AVERAGE('3_标准化'!K12,'3_标准化'!K13,'3_标准化'!K14,'3_标准化'!K15))/AVERAGE(AVERAGE('3_标准化'!K3,'3_标准化'!K4,'3_标准化'!K5),AVERAGE('3_标准化'!K7,'3_标准化'!K8,'3_标准化'!K9,'3_标准化'!K10,'3_标准化'!K11),AVERAGE('3_标准化'!K12,'3_标准化'!K13,'3_标准化'!K14,'3_标准化'!K15)))</f>
        <v/>
      </c>
      <c r="L6" s="18">
        <f>(AVERAGE(AVERAGE('3_标准化'!L3,'3_标准化'!L4,'3_标准化'!L5),AVERAGE('3_标准化'!L7,'3_标准化'!L8,'3_标准化'!L9,'3_标准化'!L10,'3_标准化'!L11),AVERAGE('3_标准化'!L12,'3_标准化'!L13,'3_标准化'!L14,'3_标准化'!L15))-VAR.P(AVERAGE('3_标准化'!L3,'3_标准化'!L4,'3_标准化'!L5),AVERAGE('3_标准化'!L7,'3_标准化'!L8,'3_标准化'!L9,'3_标准化'!L10,'3_标准化'!L11),AVERAGE('3_标准化'!L12,'3_标准化'!L13,'3_标准化'!L14,'3_标准化'!L15))/AVERAGE(AVERAGE('3_标准化'!L3,'3_标准化'!L4,'3_标准化'!L5),AVERAGE('3_标准化'!L7,'3_标准化'!L8,'3_标准化'!L9,'3_标准化'!L10,'3_标准化'!L11),AVERAGE('3_标准化'!L12,'3_标准化'!L13,'3_标准化'!L14,'3_标准化'!L15)))</f>
        <v/>
      </c>
      <c r="M6" s="5">
        <f>IF(AVERAGE('3_标准化'!C7,'3_标准化'!C8,'3_标准化'!C9,'3_标准化'!C10,'3_标准化'!C11)=MIN(AVERAGE('3_标准化'!C3,'3_标准化'!C4,'3_标准化'!C5),AVERAGE('3_标准化'!C7,'3_标准化'!C8,'3_标准化'!C9,'3_标准化'!C10,'3_标准化'!C11),AVERAGE('3_标准化'!C12,'3_标准化'!C13,'3_标准化'!C14,'3_标准化'!C15)),1,0)+IF(AVERAGE('3_标准化'!D7,'3_标准化'!D8,'3_标准化'!D9,'3_标准化'!D10,'3_标准化'!D11)=MIN(AVERAGE('3_标准化'!D3,'3_标准化'!D4,'3_标准化'!D5),AVERAGE('3_标准化'!D7,'3_标准化'!D8,'3_标准化'!D9,'3_标准化'!D10,'3_标准化'!D11),AVERAGE('3_标准化'!D12,'3_标准化'!D13,'3_标准化'!D14,'3_标准化'!D15)),1,0)+IF(AVERAGE('3_标准化'!E7,'3_标准化'!E8,'3_标准化'!E9,'3_标准化'!E10,'3_标准化'!E11)=MIN(AVERAGE('3_标准化'!E3,'3_标准化'!E4,'3_标准化'!E5),AVERAGE('3_标准化'!E7,'3_标准化'!E8,'3_标准化'!E9,'3_标准化'!E10,'3_标准化'!E11),AVERAGE('3_标准化'!E12,'3_标准化'!E13,'3_标准化'!E14,'3_标准化'!E15)),1,0)+IF(AVERAGE('3_标准化'!F7,'3_标准化'!F8,'3_标准化'!F9,'3_标准化'!F10,'3_标准化'!F11)=MIN(AVERAGE('3_标准化'!F3,'3_标准化'!F4,'3_标准化'!F5),AVERAGE('3_标准化'!F7,'3_标准化'!F8,'3_标准化'!F9,'3_标准化'!F10,'3_标准化'!F11),AVERAGE('3_标准化'!F12,'3_标准化'!F13,'3_标准化'!F14,'3_标准化'!F15)),1,0)+IF(AVERAGE('3_标准化'!G7,'3_标准化'!G8,'3_标准化'!G9,'3_标准化'!G10,'3_标准化'!G11)=MIN(AVERAGE('3_标准化'!G3,'3_标准化'!G4,'3_标准化'!G5),AVERAGE('3_标准化'!G7,'3_标准化'!G8,'3_标准化'!G9,'3_标准化'!G10,'3_标准化'!G11),AVERAGE('3_标准化'!G12,'3_标准化'!G13,'3_标准化'!G14,'3_标准化'!G15)),1,0)+IF(AVERAGE('3_标准化'!H7,'3_标准化'!H8,'3_标准化'!H9,'3_标准化'!H10,'3_标准化'!H11)=MIN(AVERAGE('3_标准化'!H3,'3_标准化'!H4,'3_标准化'!H5),AVERAGE('3_标准化'!H7,'3_标准化'!H8,'3_标准化'!H9,'3_标准化'!H10,'3_标准化'!H11),AVERAGE('3_标准化'!H12,'3_标准化'!H13,'3_标准化'!H14,'3_标准化'!H15)),1,0)+IF(AVERAGE('3_标准化'!I7,'3_标准化'!I8,'3_标准化'!I9,'3_标准化'!I10,'3_标准化'!I11)=MIN(AVERAGE('3_标准化'!I3,'3_标准化'!I4,'3_标准化'!I5),AVERAGE('3_标准化'!I7,'3_标准化'!I8,'3_标准化'!I9,'3_标准化'!I10,'3_标准化'!I11),AVERAGE('3_标准化'!I12,'3_标准化'!I13,'3_标准化'!I14,'3_标准化'!I15)),1,0)+IF(AVERAGE('3_标准化'!J7,'3_标准化'!J8,'3_标准化'!J9,'3_标准化'!J10,'3_标准化'!J11)=MIN(AVERAGE('3_标准化'!J3,'3_标准化'!J4,'3_标准化'!J5),AVERAGE('3_标准化'!J7,'3_标准化'!J8,'3_标准化'!J9,'3_标准化'!J10,'3_标准化'!J11),AVERAGE('3_标准化'!J12,'3_标准化'!J13,'3_标准化'!J14,'3_标准化'!J15)),1,0)+IF(AVERAGE('3_标准化'!K7,'3_标准化'!K8,'3_标准化'!K9,'3_标准化'!K10,'3_标准化'!K11)=MIN(AVERAGE('3_标准化'!K3,'3_标准化'!K4,'3_标准化'!K5),AVERAGE('3_标准化'!K7,'3_标准化'!K8,'3_标准化'!K9,'3_标准化'!K10,'3_标准化'!K11),AVERAGE('3_标准化'!K12,'3_标准化'!K13,'3_标准化'!K14,'3_标准化'!K15)),1,0)+IF(AVERAGE('3_标准化'!L7,'3_标准化'!L8,'3_标准化'!L9,'3_标准化'!L10,'3_标准化'!L11)=MIN(AVERAGE('3_标准化'!L3,'3_标准化'!L4,'3_标准化'!L5),AVERAGE('3_标准化'!L7,'3_标准化'!L8,'3_标准化'!L9,'3_标准化'!L10,'3_标准化'!L11),AVERAGE('3_标准化'!L12,'3_标准化'!L13,'3_标准化'!L14,'3_标准化'!L15)),1,0)</f>
        <v/>
      </c>
      <c r="N6" s="18">
        <f>C6</f>
        <v/>
      </c>
      <c r="O6" s="20">
        <f>L6</f>
        <v/>
      </c>
    </row>
    <row r="7">
      <c r="A7" s="5" t="inlineStr">
        <is>
          <t>D1 人均GDP相对全国水平</t>
        </is>
      </c>
      <c r="B7" s="5" t="inlineStr">
        <is>
          <t>发展 D</t>
        </is>
      </c>
      <c r="C7" s="18">
        <f>(AVERAGE(AVERAGE('3_标准化'!C3,'3_标准化'!C4,'3_标准化'!C5,'3_标准化'!C6),AVERAGE('3_标准化'!C8,'3_标准化'!C9,'3_标准化'!C10,'3_标准化'!C11),AVERAGE('3_标准化'!C12,'3_标准化'!C13,'3_标准化'!C14,'3_标准化'!C15))-VAR.P(AVERAGE('3_标准化'!C3,'3_标准化'!C4,'3_标准化'!C5,'3_标准化'!C6),AVERAGE('3_标准化'!C8,'3_标准化'!C9,'3_标准化'!C10,'3_标准化'!C11),AVERAGE('3_标准化'!C12,'3_标准化'!C13,'3_标准化'!C14,'3_标准化'!C15))/AVERAGE(AVERAGE('3_标准化'!C3,'3_标准化'!C4,'3_标准化'!C5,'3_标准化'!C6),AVERAGE('3_标准化'!C8,'3_标准化'!C9,'3_标准化'!C10,'3_标准化'!C11),AVERAGE('3_标准化'!C12,'3_标准化'!C13,'3_标准化'!C14,'3_标准化'!C15)))</f>
        <v/>
      </c>
      <c r="D7" s="18">
        <f>(AVERAGE(AVERAGE('3_标准化'!D3,'3_标准化'!D4,'3_标准化'!D5,'3_标准化'!D6),AVERAGE('3_标准化'!D8,'3_标准化'!D9,'3_标准化'!D10,'3_标准化'!D11),AVERAGE('3_标准化'!D12,'3_标准化'!D13,'3_标准化'!D14,'3_标准化'!D15))-VAR.P(AVERAGE('3_标准化'!D3,'3_标准化'!D4,'3_标准化'!D5,'3_标准化'!D6),AVERAGE('3_标准化'!D8,'3_标准化'!D9,'3_标准化'!D10,'3_标准化'!D11),AVERAGE('3_标准化'!D12,'3_标准化'!D13,'3_标准化'!D14,'3_标准化'!D15))/AVERAGE(AVERAGE('3_标准化'!D3,'3_标准化'!D4,'3_标准化'!D5,'3_标准化'!D6),AVERAGE('3_标准化'!D8,'3_标准化'!D9,'3_标准化'!D10,'3_标准化'!D11),AVERAGE('3_标准化'!D12,'3_标准化'!D13,'3_标准化'!D14,'3_标准化'!D15)))</f>
        <v/>
      </c>
      <c r="E7" s="18">
        <f>(AVERAGE(AVERAGE('3_标准化'!E3,'3_标准化'!E4,'3_标准化'!E5,'3_标准化'!E6),AVERAGE('3_标准化'!E8,'3_标准化'!E9,'3_标准化'!E10,'3_标准化'!E11),AVERAGE('3_标准化'!E12,'3_标准化'!E13,'3_标准化'!E14,'3_标准化'!E15))-VAR.P(AVERAGE('3_标准化'!E3,'3_标准化'!E4,'3_标准化'!E5,'3_标准化'!E6),AVERAGE('3_标准化'!E8,'3_标准化'!E9,'3_标准化'!E10,'3_标准化'!E11),AVERAGE('3_标准化'!E12,'3_标准化'!E13,'3_标准化'!E14,'3_标准化'!E15))/AVERAGE(AVERAGE('3_标准化'!E3,'3_标准化'!E4,'3_标准化'!E5,'3_标准化'!E6),AVERAGE('3_标准化'!E8,'3_标准化'!E9,'3_标准化'!E10,'3_标准化'!E11),AVERAGE('3_标准化'!E12,'3_标准化'!E13,'3_标准化'!E14,'3_标准化'!E15)))</f>
        <v/>
      </c>
      <c r="F7" s="18">
        <f>(AVERAGE(AVERAGE('3_标准化'!F3,'3_标准化'!F4,'3_标准化'!F5,'3_标准化'!F6),AVERAGE('3_标准化'!F8,'3_标准化'!F9,'3_标准化'!F10,'3_标准化'!F11),AVERAGE('3_标准化'!F12,'3_标准化'!F13,'3_标准化'!F14,'3_标准化'!F15))-VAR.P(AVERAGE('3_标准化'!F3,'3_标准化'!F4,'3_标准化'!F5,'3_标准化'!F6),AVERAGE('3_标准化'!F8,'3_标准化'!F9,'3_标准化'!F10,'3_标准化'!F11),AVERAGE('3_标准化'!F12,'3_标准化'!F13,'3_标准化'!F14,'3_标准化'!F15))/AVERAGE(AVERAGE('3_标准化'!F3,'3_标准化'!F4,'3_标准化'!F5,'3_标准化'!F6),AVERAGE('3_标准化'!F8,'3_标准化'!F9,'3_标准化'!F10,'3_标准化'!F11),AVERAGE('3_标准化'!F12,'3_标准化'!F13,'3_标准化'!F14,'3_标准化'!F15)))</f>
        <v/>
      </c>
      <c r="G7" s="18">
        <f>(AVERAGE(AVERAGE('3_标准化'!G3,'3_标准化'!G4,'3_标准化'!G5,'3_标准化'!G6),AVERAGE('3_标准化'!G8,'3_标准化'!G9,'3_标准化'!G10,'3_标准化'!G11),AVERAGE('3_标准化'!G12,'3_标准化'!G13,'3_标准化'!G14,'3_标准化'!G15))-VAR.P(AVERAGE('3_标准化'!G3,'3_标准化'!G4,'3_标准化'!G5,'3_标准化'!G6),AVERAGE('3_标准化'!G8,'3_标准化'!G9,'3_标准化'!G10,'3_标准化'!G11),AVERAGE('3_标准化'!G12,'3_标准化'!G13,'3_标准化'!G14,'3_标准化'!G15))/AVERAGE(AVERAGE('3_标准化'!G3,'3_标准化'!G4,'3_标准化'!G5,'3_标准化'!G6),AVERAGE('3_标准化'!G8,'3_标准化'!G9,'3_标准化'!G10,'3_标准化'!G11),AVERAGE('3_标准化'!G12,'3_标准化'!G13,'3_标准化'!G14,'3_标准化'!G15)))</f>
        <v/>
      </c>
      <c r="H7" s="18">
        <f>(AVERAGE(AVERAGE('3_标准化'!H3,'3_标准化'!H4,'3_标准化'!H5,'3_标准化'!H6),AVERAGE('3_标准化'!H8,'3_标准化'!H9,'3_标准化'!H10,'3_标准化'!H11),AVERAGE('3_标准化'!H12,'3_标准化'!H13,'3_标准化'!H14,'3_标准化'!H15))-VAR.P(AVERAGE('3_标准化'!H3,'3_标准化'!H4,'3_标准化'!H5,'3_标准化'!H6),AVERAGE('3_标准化'!H8,'3_标准化'!H9,'3_标准化'!H10,'3_标准化'!H11),AVERAGE('3_标准化'!H12,'3_标准化'!H13,'3_标准化'!H14,'3_标准化'!H15))/AVERAGE(AVERAGE('3_标准化'!H3,'3_标准化'!H4,'3_标准化'!H5,'3_标准化'!H6),AVERAGE('3_标准化'!H8,'3_标准化'!H9,'3_标准化'!H10,'3_标准化'!H11),AVERAGE('3_标准化'!H12,'3_标准化'!H13,'3_标准化'!H14,'3_标准化'!H15)))</f>
        <v/>
      </c>
      <c r="I7" s="18">
        <f>(AVERAGE(AVERAGE('3_标准化'!I3,'3_标准化'!I4,'3_标准化'!I5,'3_标准化'!I6),AVERAGE('3_标准化'!I8,'3_标准化'!I9,'3_标准化'!I10,'3_标准化'!I11),AVERAGE('3_标准化'!I12,'3_标准化'!I13,'3_标准化'!I14,'3_标准化'!I15))-VAR.P(AVERAGE('3_标准化'!I3,'3_标准化'!I4,'3_标准化'!I5,'3_标准化'!I6),AVERAGE('3_标准化'!I8,'3_标准化'!I9,'3_标准化'!I10,'3_标准化'!I11),AVERAGE('3_标准化'!I12,'3_标准化'!I13,'3_标准化'!I14,'3_标准化'!I15))/AVERAGE(AVERAGE('3_标准化'!I3,'3_标准化'!I4,'3_标准化'!I5,'3_标准化'!I6),AVERAGE('3_标准化'!I8,'3_标准化'!I9,'3_标准化'!I10,'3_标准化'!I11),AVERAGE('3_标准化'!I12,'3_标准化'!I13,'3_标准化'!I14,'3_标准化'!I15)))</f>
        <v/>
      </c>
      <c r="J7" s="18">
        <f>(AVERAGE(AVERAGE('3_标准化'!J3,'3_标准化'!J4,'3_标准化'!J5,'3_标准化'!J6),AVERAGE('3_标准化'!J8,'3_标准化'!J9,'3_标准化'!J10,'3_标准化'!J11),AVERAGE('3_标准化'!J12,'3_标准化'!J13,'3_标准化'!J14,'3_标准化'!J15))-VAR.P(AVERAGE('3_标准化'!J3,'3_标准化'!J4,'3_标准化'!J5,'3_标准化'!J6),AVERAGE('3_标准化'!J8,'3_标准化'!J9,'3_标准化'!J10,'3_标准化'!J11),AVERAGE('3_标准化'!J12,'3_标准化'!J13,'3_标准化'!J14,'3_标准化'!J15))/AVERAGE(AVERAGE('3_标准化'!J3,'3_标准化'!J4,'3_标准化'!J5,'3_标准化'!J6),AVERAGE('3_标准化'!J8,'3_标准化'!J9,'3_标准化'!J10,'3_标准化'!J11),AVERAGE('3_标准化'!J12,'3_标准化'!J13,'3_标准化'!J14,'3_标准化'!J15)))</f>
        <v/>
      </c>
      <c r="K7" s="18">
        <f>(AVERAGE(AVERAGE('3_标准化'!K3,'3_标准化'!K4,'3_标准化'!K5,'3_标准化'!K6),AVERAGE('3_标准化'!K8,'3_标准化'!K9,'3_标准化'!K10,'3_标准化'!K11),AVERAGE('3_标准化'!K12,'3_标准化'!K13,'3_标准化'!K14,'3_标准化'!K15))-VAR.P(AVERAGE('3_标准化'!K3,'3_标准化'!K4,'3_标准化'!K5,'3_标准化'!K6),AVERAGE('3_标准化'!K8,'3_标准化'!K9,'3_标准化'!K10,'3_标准化'!K11),AVERAGE('3_标准化'!K12,'3_标准化'!K13,'3_标准化'!K14,'3_标准化'!K15))/AVERAGE(AVERAGE('3_标准化'!K3,'3_标准化'!K4,'3_标准化'!K5,'3_标准化'!K6),AVERAGE('3_标准化'!K8,'3_标准化'!K9,'3_标准化'!K10,'3_标准化'!K11),AVERAGE('3_标准化'!K12,'3_标准化'!K13,'3_标准化'!K14,'3_标准化'!K15)))</f>
        <v/>
      </c>
      <c r="L7" s="18">
        <f>(AVERAGE(AVERAGE('3_标准化'!L3,'3_标准化'!L4,'3_标准化'!L5,'3_标准化'!L6),AVERAGE('3_标准化'!L8,'3_标准化'!L9,'3_标准化'!L10,'3_标准化'!L11),AVERAGE('3_标准化'!L12,'3_标准化'!L13,'3_标准化'!L14,'3_标准化'!L15))-VAR.P(AVERAGE('3_标准化'!L3,'3_标准化'!L4,'3_标准化'!L5,'3_标准化'!L6),AVERAGE('3_标准化'!L8,'3_标准化'!L9,'3_标准化'!L10,'3_标准化'!L11),AVERAGE('3_标准化'!L12,'3_标准化'!L13,'3_标准化'!L14,'3_标准化'!L15))/AVERAGE(AVERAGE('3_标准化'!L3,'3_标准化'!L4,'3_标准化'!L5,'3_标准化'!L6),AVERAGE('3_标准化'!L8,'3_标准化'!L9,'3_标准化'!L10,'3_标准化'!L11),AVERAGE('3_标准化'!L12,'3_标准化'!L13,'3_标准化'!L14,'3_标准化'!L15)))</f>
        <v/>
      </c>
      <c r="M7" s="5">
        <f>IF(AVERAGE('3_标准化'!C8,'3_标准化'!C9,'3_标准化'!C10,'3_标准化'!C11)=MIN(AVERAGE('3_标准化'!C3,'3_标准化'!C4,'3_标准化'!C5,'3_标准化'!C6),AVERAGE('3_标准化'!C8,'3_标准化'!C9,'3_标准化'!C10,'3_标准化'!C11),AVERAGE('3_标准化'!C12,'3_标准化'!C13,'3_标准化'!C14,'3_标准化'!C15)),1,0)+IF(AVERAGE('3_标准化'!D8,'3_标准化'!D9,'3_标准化'!D10,'3_标准化'!D11)=MIN(AVERAGE('3_标准化'!D3,'3_标准化'!D4,'3_标准化'!D5,'3_标准化'!D6),AVERAGE('3_标准化'!D8,'3_标准化'!D9,'3_标准化'!D10,'3_标准化'!D11),AVERAGE('3_标准化'!D12,'3_标准化'!D13,'3_标准化'!D14,'3_标准化'!D15)),1,0)+IF(AVERAGE('3_标准化'!E8,'3_标准化'!E9,'3_标准化'!E10,'3_标准化'!E11)=MIN(AVERAGE('3_标准化'!E3,'3_标准化'!E4,'3_标准化'!E5,'3_标准化'!E6),AVERAGE('3_标准化'!E8,'3_标准化'!E9,'3_标准化'!E10,'3_标准化'!E11),AVERAGE('3_标准化'!E12,'3_标准化'!E13,'3_标准化'!E14,'3_标准化'!E15)),1,0)+IF(AVERAGE('3_标准化'!F8,'3_标准化'!F9,'3_标准化'!F10,'3_标准化'!F11)=MIN(AVERAGE('3_标准化'!F3,'3_标准化'!F4,'3_标准化'!F5,'3_标准化'!F6),AVERAGE('3_标准化'!F8,'3_标准化'!F9,'3_标准化'!F10,'3_标准化'!F11),AVERAGE('3_标准化'!F12,'3_标准化'!F13,'3_标准化'!F14,'3_标准化'!F15)),1,0)+IF(AVERAGE('3_标准化'!G8,'3_标准化'!G9,'3_标准化'!G10,'3_标准化'!G11)=MIN(AVERAGE('3_标准化'!G3,'3_标准化'!G4,'3_标准化'!G5,'3_标准化'!G6),AVERAGE('3_标准化'!G8,'3_标准化'!G9,'3_标准化'!G10,'3_标准化'!G11),AVERAGE('3_标准化'!G12,'3_标准化'!G13,'3_标准化'!G14,'3_标准化'!G15)),1,0)+IF(AVERAGE('3_标准化'!H8,'3_标准化'!H9,'3_标准化'!H10,'3_标准化'!H11)=MIN(AVERAGE('3_标准化'!H3,'3_标准化'!H4,'3_标准化'!H5,'3_标准化'!H6),AVERAGE('3_标准化'!H8,'3_标准化'!H9,'3_标准化'!H10,'3_标准化'!H11),AVERAGE('3_标准化'!H12,'3_标准化'!H13,'3_标准化'!H14,'3_标准化'!H15)),1,0)+IF(AVERAGE('3_标准化'!I8,'3_标准化'!I9,'3_标准化'!I10,'3_标准化'!I11)=MIN(AVERAGE('3_标准化'!I3,'3_标准化'!I4,'3_标准化'!I5,'3_标准化'!I6),AVERAGE('3_标准化'!I8,'3_标准化'!I9,'3_标准化'!I10,'3_标准化'!I11),AVERAGE('3_标准化'!I12,'3_标准化'!I13,'3_标准化'!I14,'3_标准化'!I15)),1,0)+IF(AVERAGE('3_标准化'!J8,'3_标准化'!J9,'3_标准化'!J10,'3_标准化'!J11)=MIN(AVERAGE('3_标准化'!J3,'3_标准化'!J4,'3_标准化'!J5,'3_标准化'!J6),AVERAGE('3_标准化'!J8,'3_标准化'!J9,'3_标准化'!J10,'3_标准化'!J11),AVERAGE('3_标准化'!J12,'3_标准化'!J13,'3_标准化'!J14,'3_标准化'!J15)),1,0)+IF(AVERAGE('3_标准化'!K8,'3_标准化'!K9,'3_标准化'!K10,'3_标准化'!K11)=MIN(AVERAGE('3_标准化'!K3,'3_标准化'!K4,'3_标准化'!K5,'3_标准化'!K6),AVERAGE('3_标准化'!K8,'3_标准化'!K9,'3_标准化'!K10,'3_标准化'!K11),AVERAGE('3_标准化'!K12,'3_标准化'!K13,'3_标准化'!K14,'3_标准化'!K15)),1,0)+IF(AVERAGE('3_标准化'!L8,'3_标准化'!L9,'3_标准化'!L10,'3_标准化'!L11)=MIN(AVERAGE('3_标准化'!L3,'3_标准化'!L4,'3_标准化'!L5,'3_标准化'!L6),AVERAGE('3_标准化'!L8,'3_标准化'!L9,'3_标准化'!L10,'3_标准化'!L11),AVERAGE('3_标准化'!L12,'3_标准化'!L13,'3_标准化'!L14,'3_标准化'!L15)),1,0)</f>
        <v/>
      </c>
      <c r="N7" s="18">
        <f>C7</f>
        <v/>
      </c>
      <c r="O7" s="20">
        <f>L7</f>
        <v/>
      </c>
    </row>
    <row r="8">
      <c r="A8" s="5" t="inlineStr">
        <is>
          <t>D2 农村居民人均收入相对全国水平</t>
        </is>
      </c>
      <c r="B8" s="5" t="inlineStr">
        <is>
          <t>发展 D</t>
        </is>
      </c>
      <c r="C8" s="18">
        <f>(AVERAGE(AVERAGE('3_标准化'!C3,'3_标准化'!C4,'3_标准化'!C5,'3_标准化'!C6),AVERAGE('3_标准化'!C7,'3_标准化'!C9,'3_标准化'!C10,'3_标准化'!C11),AVERAGE('3_标准化'!C12,'3_标准化'!C13,'3_标准化'!C14,'3_标准化'!C15))-VAR.P(AVERAGE('3_标准化'!C3,'3_标准化'!C4,'3_标准化'!C5,'3_标准化'!C6),AVERAGE('3_标准化'!C7,'3_标准化'!C9,'3_标准化'!C10,'3_标准化'!C11),AVERAGE('3_标准化'!C12,'3_标准化'!C13,'3_标准化'!C14,'3_标准化'!C15))/AVERAGE(AVERAGE('3_标准化'!C3,'3_标准化'!C4,'3_标准化'!C5,'3_标准化'!C6),AVERAGE('3_标准化'!C7,'3_标准化'!C9,'3_标准化'!C10,'3_标准化'!C11),AVERAGE('3_标准化'!C12,'3_标准化'!C13,'3_标准化'!C14,'3_标准化'!C15)))</f>
        <v/>
      </c>
      <c r="D8" s="18">
        <f>(AVERAGE(AVERAGE('3_标准化'!D3,'3_标准化'!D4,'3_标准化'!D5,'3_标准化'!D6),AVERAGE('3_标准化'!D7,'3_标准化'!D9,'3_标准化'!D10,'3_标准化'!D11),AVERAGE('3_标准化'!D12,'3_标准化'!D13,'3_标准化'!D14,'3_标准化'!D15))-VAR.P(AVERAGE('3_标准化'!D3,'3_标准化'!D4,'3_标准化'!D5,'3_标准化'!D6),AVERAGE('3_标准化'!D7,'3_标准化'!D9,'3_标准化'!D10,'3_标准化'!D11),AVERAGE('3_标准化'!D12,'3_标准化'!D13,'3_标准化'!D14,'3_标准化'!D15))/AVERAGE(AVERAGE('3_标准化'!D3,'3_标准化'!D4,'3_标准化'!D5,'3_标准化'!D6),AVERAGE('3_标准化'!D7,'3_标准化'!D9,'3_标准化'!D10,'3_标准化'!D11),AVERAGE('3_标准化'!D12,'3_标准化'!D13,'3_标准化'!D14,'3_标准化'!D15)))</f>
        <v/>
      </c>
      <c r="E8" s="18">
        <f>(AVERAGE(AVERAGE('3_标准化'!E3,'3_标准化'!E4,'3_标准化'!E5,'3_标准化'!E6),AVERAGE('3_标准化'!E7,'3_标准化'!E9,'3_标准化'!E10,'3_标准化'!E11),AVERAGE('3_标准化'!E12,'3_标准化'!E13,'3_标准化'!E14,'3_标准化'!E15))-VAR.P(AVERAGE('3_标准化'!E3,'3_标准化'!E4,'3_标准化'!E5,'3_标准化'!E6),AVERAGE('3_标准化'!E7,'3_标准化'!E9,'3_标准化'!E10,'3_标准化'!E11),AVERAGE('3_标准化'!E12,'3_标准化'!E13,'3_标准化'!E14,'3_标准化'!E15))/AVERAGE(AVERAGE('3_标准化'!E3,'3_标准化'!E4,'3_标准化'!E5,'3_标准化'!E6),AVERAGE('3_标准化'!E7,'3_标准化'!E9,'3_标准化'!E10,'3_标准化'!E11),AVERAGE('3_标准化'!E12,'3_标准化'!E13,'3_标准化'!E14,'3_标准化'!E15)))</f>
        <v/>
      </c>
      <c r="F8" s="18">
        <f>(AVERAGE(AVERAGE('3_标准化'!F3,'3_标准化'!F4,'3_标准化'!F5,'3_标准化'!F6),AVERAGE('3_标准化'!F7,'3_标准化'!F9,'3_标准化'!F10,'3_标准化'!F11),AVERAGE('3_标准化'!F12,'3_标准化'!F13,'3_标准化'!F14,'3_标准化'!F15))-VAR.P(AVERAGE('3_标准化'!F3,'3_标准化'!F4,'3_标准化'!F5,'3_标准化'!F6),AVERAGE('3_标准化'!F7,'3_标准化'!F9,'3_标准化'!F10,'3_标准化'!F11),AVERAGE('3_标准化'!F12,'3_标准化'!F13,'3_标准化'!F14,'3_标准化'!F15))/AVERAGE(AVERAGE('3_标准化'!F3,'3_标准化'!F4,'3_标准化'!F5,'3_标准化'!F6),AVERAGE('3_标准化'!F7,'3_标准化'!F9,'3_标准化'!F10,'3_标准化'!F11),AVERAGE('3_标准化'!F12,'3_标准化'!F13,'3_标准化'!F14,'3_标准化'!F15)))</f>
        <v/>
      </c>
      <c r="G8" s="18">
        <f>(AVERAGE(AVERAGE('3_标准化'!G3,'3_标准化'!G4,'3_标准化'!G5,'3_标准化'!G6),AVERAGE('3_标准化'!G7,'3_标准化'!G9,'3_标准化'!G10,'3_标准化'!G11),AVERAGE('3_标准化'!G12,'3_标准化'!G13,'3_标准化'!G14,'3_标准化'!G15))-VAR.P(AVERAGE('3_标准化'!G3,'3_标准化'!G4,'3_标准化'!G5,'3_标准化'!G6),AVERAGE('3_标准化'!G7,'3_标准化'!G9,'3_标准化'!G10,'3_标准化'!G11),AVERAGE('3_标准化'!G12,'3_标准化'!G13,'3_标准化'!G14,'3_标准化'!G15))/AVERAGE(AVERAGE('3_标准化'!G3,'3_标准化'!G4,'3_标准化'!G5,'3_标准化'!G6),AVERAGE('3_标准化'!G7,'3_标准化'!G9,'3_标准化'!G10,'3_标准化'!G11),AVERAGE('3_标准化'!G12,'3_标准化'!G13,'3_标准化'!G14,'3_标准化'!G15)))</f>
        <v/>
      </c>
      <c r="H8" s="18">
        <f>(AVERAGE(AVERAGE('3_标准化'!H3,'3_标准化'!H4,'3_标准化'!H5,'3_标准化'!H6),AVERAGE('3_标准化'!H7,'3_标准化'!H9,'3_标准化'!H10,'3_标准化'!H11),AVERAGE('3_标准化'!H12,'3_标准化'!H13,'3_标准化'!H14,'3_标准化'!H15))-VAR.P(AVERAGE('3_标准化'!H3,'3_标准化'!H4,'3_标准化'!H5,'3_标准化'!H6),AVERAGE('3_标准化'!H7,'3_标准化'!H9,'3_标准化'!H10,'3_标准化'!H11),AVERAGE('3_标准化'!H12,'3_标准化'!H13,'3_标准化'!H14,'3_标准化'!H15))/AVERAGE(AVERAGE('3_标准化'!H3,'3_标准化'!H4,'3_标准化'!H5,'3_标准化'!H6),AVERAGE('3_标准化'!H7,'3_标准化'!H9,'3_标准化'!H10,'3_标准化'!H11),AVERAGE('3_标准化'!H12,'3_标准化'!H13,'3_标准化'!H14,'3_标准化'!H15)))</f>
        <v/>
      </c>
      <c r="I8" s="18">
        <f>(AVERAGE(AVERAGE('3_标准化'!I3,'3_标准化'!I4,'3_标准化'!I5,'3_标准化'!I6),AVERAGE('3_标准化'!I7,'3_标准化'!I9,'3_标准化'!I10,'3_标准化'!I11),AVERAGE('3_标准化'!I12,'3_标准化'!I13,'3_标准化'!I14,'3_标准化'!I15))-VAR.P(AVERAGE('3_标准化'!I3,'3_标准化'!I4,'3_标准化'!I5,'3_标准化'!I6),AVERAGE('3_标准化'!I7,'3_标准化'!I9,'3_标准化'!I10,'3_标准化'!I11),AVERAGE('3_标准化'!I12,'3_标准化'!I13,'3_标准化'!I14,'3_标准化'!I15))/AVERAGE(AVERAGE('3_标准化'!I3,'3_标准化'!I4,'3_标准化'!I5,'3_标准化'!I6),AVERAGE('3_标准化'!I7,'3_标准化'!I9,'3_标准化'!I10,'3_标准化'!I11),AVERAGE('3_标准化'!I12,'3_标准化'!I13,'3_标准化'!I14,'3_标准化'!I15)))</f>
        <v/>
      </c>
      <c r="J8" s="18">
        <f>(AVERAGE(AVERAGE('3_标准化'!J3,'3_标准化'!J4,'3_标准化'!J5,'3_标准化'!J6),AVERAGE('3_标准化'!J7,'3_标准化'!J9,'3_标准化'!J10,'3_标准化'!J11),AVERAGE('3_标准化'!J12,'3_标准化'!J13,'3_标准化'!J14,'3_标准化'!J15))-VAR.P(AVERAGE('3_标准化'!J3,'3_标准化'!J4,'3_标准化'!J5,'3_标准化'!J6),AVERAGE('3_标准化'!J7,'3_标准化'!J9,'3_标准化'!J10,'3_标准化'!J11),AVERAGE('3_标准化'!J12,'3_标准化'!J13,'3_标准化'!J14,'3_标准化'!J15))/AVERAGE(AVERAGE('3_标准化'!J3,'3_标准化'!J4,'3_标准化'!J5,'3_标准化'!J6),AVERAGE('3_标准化'!J7,'3_标准化'!J9,'3_标准化'!J10,'3_标准化'!J11),AVERAGE('3_标准化'!J12,'3_标准化'!J13,'3_标准化'!J14,'3_标准化'!J15)))</f>
        <v/>
      </c>
      <c r="K8" s="18">
        <f>(AVERAGE(AVERAGE('3_标准化'!K3,'3_标准化'!K4,'3_标准化'!K5,'3_标准化'!K6),AVERAGE('3_标准化'!K7,'3_标准化'!K9,'3_标准化'!K10,'3_标准化'!K11),AVERAGE('3_标准化'!K12,'3_标准化'!K13,'3_标准化'!K14,'3_标准化'!K15))-VAR.P(AVERAGE('3_标准化'!K3,'3_标准化'!K4,'3_标准化'!K5,'3_标准化'!K6),AVERAGE('3_标准化'!K7,'3_标准化'!K9,'3_标准化'!K10,'3_标准化'!K11),AVERAGE('3_标准化'!K12,'3_标准化'!K13,'3_标准化'!K14,'3_标准化'!K15))/AVERAGE(AVERAGE('3_标准化'!K3,'3_标准化'!K4,'3_标准化'!K5,'3_标准化'!K6),AVERAGE('3_标准化'!K7,'3_标准化'!K9,'3_标准化'!K10,'3_标准化'!K11),AVERAGE('3_标准化'!K12,'3_标准化'!K13,'3_标准化'!K14,'3_标准化'!K15)))</f>
        <v/>
      </c>
      <c r="L8" s="18">
        <f>(AVERAGE(AVERAGE('3_标准化'!L3,'3_标准化'!L4,'3_标准化'!L5,'3_标准化'!L6),AVERAGE('3_标准化'!L7,'3_标准化'!L9,'3_标准化'!L10,'3_标准化'!L11),AVERAGE('3_标准化'!L12,'3_标准化'!L13,'3_标准化'!L14,'3_标准化'!L15))-VAR.P(AVERAGE('3_标准化'!L3,'3_标准化'!L4,'3_标准化'!L5,'3_标准化'!L6),AVERAGE('3_标准化'!L7,'3_标准化'!L9,'3_标准化'!L10,'3_标准化'!L11),AVERAGE('3_标准化'!L12,'3_标准化'!L13,'3_标准化'!L14,'3_标准化'!L15))/AVERAGE(AVERAGE('3_标准化'!L3,'3_标准化'!L4,'3_标准化'!L5,'3_标准化'!L6),AVERAGE('3_标准化'!L7,'3_标准化'!L9,'3_标准化'!L10,'3_标准化'!L11),AVERAGE('3_标准化'!L12,'3_标准化'!L13,'3_标准化'!L14,'3_标准化'!L15)))</f>
        <v/>
      </c>
      <c r="M8" s="5">
        <f>IF(AVERAGE('3_标准化'!C7,'3_标准化'!C9,'3_标准化'!C10,'3_标准化'!C11)=MIN(AVERAGE('3_标准化'!C3,'3_标准化'!C4,'3_标准化'!C5,'3_标准化'!C6),AVERAGE('3_标准化'!C7,'3_标准化'!C9,'3_标准化'!C10,'3_标准化'!C11),AVERAGE('3_标准化'!C12,'3_标准化'!C13,'3_标准化'!C14,'3_标准化'!C15)),1,0)+IF(AVERAGE('3_标准化'!D7,'3_标准化'!D9,'3_标准化'!D10,'3_标准化'!D11)=MIN(AVERAGE('3_标准化'!D3,'3_标准化'!D4,'3_标准化'!D5,'3_标准化'!D6),AVERAGE('3_标准化'!D7,'3_标准化'!D9,'3_标准化'!D10,'3_标准化'!D11),AVERAGE('3_标准化'!D12,'3_标准化'!D13,'3_标准化'!D14,'3_标准化'!D15)),1,0)+IF(AVERAGE('3_标准化'!E7,'3_标准化'!E9,'3_标准化'!E10,'3_标准化'!E11)=MIN(AVERAGE('3_标准化'!E3,'3_标准化'!E4,'3_标准化'!E5,'3_标准化'!E6),AVERAGE('3_标准化'!E7,'3_标准化'!E9,'3_标准化'!E10,'3_标准化'!E11),AVERAGE('3_标准化'!E12,'3_标准化'!E13,'3_标准化'!E14,'3_标准化'!E15)),1,0)+IF(AVERAGE('3_标准化'!F7,'3_标准化'!F9,'3_标准化'!F10,'3_标准化'!F11)=MIN(AVERAGE('3_标准化'!F3,'3_标准化'!F4,'3_标准化'!F5,'3_标准化'!F6),AVERAGE('3_标准化'!F7,'3_标准化'!F9,'3_标准化'!F10,'3_标准化'!F11),AVERAGE('3_标准化'!F12,'3_标准化'!F13,'3_标准化'!F14,'3_标准化'!F15)),1,0)+IF(AVERAGE('3_标准化'!G7,'3_标准化'!G9,'3_标准化'!G10,'3_标准化'!G11)=MIN(AVERAGE('3_标准化'!G3,'3_标准化'!G4,'3_标准化'!G5,'3_标准化'!G6),AVERAGE('3_标准化'!G7,'3_标准化'!G9,'3_标准化'!G10,'3_标准化'!G11),AVERAGE('3_标准化'!G12,'3_标准化'!G13,'3_标准化'!G14,'3_标准化'!G15)),1,0)+IF(AVERAGE('3_标准化'!H7,'3_标准化'!H9,'3_标准化'!H10,'3_标准化'!H11)=MIN(AVERAGE('3_标准化'!H3,'3_标准化'!H4,'3_标准化'!H5,'3_标准化'!H6),AVERAGE('3_标准化'!H7,'3_标准化'!H9,'3_标准化'!H10,'3_标准化'!H11),AVERAGE('3_标准化'!H12,'3_标准化'!H13,'3_标准化'!H14,'3_标准化'!H15)),1,0)+IF(AVERAGE('3_标准化'!I7,'3_标准化'!I9,'3_标准化'!I10,'3_标准化'!I11)=MIN(AVERAGE('3_标准化'!I3,'3_标准化'!I4,'3_标准化'!I5,'3_标准化'!I6),AVERAGE('3_标准化'!I7,'3_标准化'!I9,'3_标准化'!I10,'3_标准化'!I11),AVERAGE('3_标准化'!I12,'3_标准化'!I13,'3_标准化'!I14,'3_标准化'!I15)),1,0)+IF(AVERAGE('3_标准化'!J7,'3_标准化'!J9,'3_标准化'!J10,'3_标准化'!J11)=MIN(AVERAGE('3_标准化'!J3,'3_标准化'!J4,'3_标准化'!J5,'3_标准化'!J6),AVERAGE('3_标准化'!J7,'3_标准化'!J9,'3_标准化'!J10,'3_标准化'!J11),AVERAGE('3_标准化'!J12,'3_标准化'!J13,'3_标准化'!J14,'3_标准化'!J15)),1,0)+IF(AVERAGE('3_标准化'!K7,'3_标准化'!K9,'3_标准化'!K10,'3_标准化'!K11)=MIN(AVERAGE('3_标准化'!K3,'3_标准化'!K4,'3_标准化'!K5,'3_标准化'!K6),AVERAGE('3_标准化'!K7,'3_标准化'!K9,'3_标准化'!K10,'3_标准化'!K11),AVERAGE('3_标准化'!K12,'3_标准化'!K13,'3_标准化'!K14,'3_标准化'!K15)),1,0)+IF(AVERAGE('3_标准化'!L7,'3_标准化'!L9,'3_标准化'!L10,'3_标准化'!L11)=MIN(AVERAGE('3_标准化'!L3,'3_标准化'!L4,'3_标准化'!L5,'3_标准化'!L6),AVERAGE('3_标准化'!L7,'3_标准化'!L9,'3_标准化'!L10,'3_标准化'!L11),AVERAGE('3_标准化'!L12,'3_标准化'!L13,'3_标准化'!L14,'3_标准化'!L15)),1,0)</f>
        <v/>
      </c>
      <c r="N8" s="18">
        <f>C8</f>
        <v/>
      </c>
      <c r="O8" s="20">
        <f>L8</f>
        <v/>
      </c>
    </row>
    <row r="9">
      <c r="A9" s="5" t="inlineStr">
        <is>
          <t>D3 外向度</t>
        </is>
      </c>
      <c r="B9" s="5" t="inlineStr">
        <is>
          <t>发展 D</t>
        </is>
      </c>
      <c r="C9" s="18">
        <f>(AVERAGE(AVERAGE('3_标准化'!C3,'3_标准化'!C4,'3_标准化'!C5,'3_标准化'!C6),AVERAGE('3_标准化'!C7,'3_标准化'!C8,'3_标准化'!C10,'3_标准化'!C11),AVERAGE('3_标准化'!C12,'3_标准化'!C13,'3_标准化'!C14,'3_标准化'!C15))-VAR.P(AVERAGE('3_标准化'!C3,'3_标准化'!C4,'3_标准化'!C5,'3_标准化'!C6),AVERAGE('3_标准化'!C7,'3_标准化'!C8,'3_标准化'!C10,'3_标准化'!C11),AVERAGE('3_标准化'!C12,'3_标准化'!C13,'3_标准化'!C14,'3_标准化'!C15))/AVERAGE(AVERAGE('3_标准化'!C3,'3_标准化'!C4,'3_标准化'!C5,'3_标准化'!C6),AVERAGE('3_标准化'!C7,'3_标准化'!C8,'3_标准化'!C10,'3_标准化'!C11),AVERAGE('3_标准化'!C12,'3_标准化'!C13,'3_标准化'!C14,'3_标准化'!C15)))</f>
        <v/>
      </c>
      <c r="D9" s="18">
        <f>(AVERAGE(AVERAGE('3_标准化'!D3,'3_标准化'!D4,'3_标准化'!D5,'3_标准化'!D6),AVERAGE('3_标准化'!D7,'3_标准化'!D8,'3_标准化'!D10,'3_标准化'!D11),AVERAGE('3_标准化'!D12,'3_标准化'!D13,'3_标准化'!D14,'3_标准化'!D15))-VAR.P(AVERAGE('3_标准化'!D3,'3_标准化'!D4,'3_标准化'!D5,'3_标准化'!D6),AVERAGE('3_标准化'!D7,'3_标准化'!D8,'3_标准化'!D10,'3_标准化'!D11),AVERAGE('3_标准化'!D12,'3_标准化'!D13,'3_标准化'!D14,'3_标准化'!D15))/AVERAGE(AVERAGE('3_标准化'!D3,'3_标准化'!D4,'3_标准化'!D5,'3_标准化'!D6),AVERAGE('3_标准化'!D7,'3_标准化'!D8,'3_标准化'!D10,'3_标准化'!D11),AVERAGE('3_标准化'!D12,'3_标准化'!D13,'3_标准化'!D14,'3_标准化'!D15)))</f>
        <v/>
      </c>
      <c r="E9" s="18">
        <f>(AVERAGE(AVERAGE('3_标准化'!E3,'3_标准化'!E4,'3_标准化'!E5,'3_标准化'!E6),AVERAGE('3_标准化'!E7,'3_标准化'!E8,'3_标准化'!E10,'3_标准化'!E11),AVERAGE('3_标准化'!E12,'3_标准化'!E13,'3_标准化'!E14,'3_标准化'!E15))-VAR.P(AVERAGE('3_标准化'!E3,'3_标准化'!E4,'3_标准化'!E5,'3_标准化'!E6),AVERAGE('3_标准化'!E7,'3_标准化'!E8,'3_标准化'!E10,'3_标准化'!E11),AVERAGE('3_标准化'!E12,'3_标准化'!E13,'3_标准化'!E14,'3_标准化'!E15))/AVERAGE(AVERAGE('3_标准化'!E3,'3_标准化'!E4,'3_标准化'!E5,'3_标准化'!E6),AVERAGE('3_标准化'!E7,'3_标准化'!E8,'3_标准化'!E10,'3_标准化'!E11),AVERAGE('3_标准化'!E12,'3_标准化'!E13,'3_标准化'!E14,'3_标准化'!E15)))</f>
        <v/>
      </c>
      <c r="F9" s="18">
        <f>(AVERAGE(AVERAGE('3_标准化'!F3,'3_标准化'!F4,'3_标准化'!F5,'3_标准化'!F6),AVERAGE('3_标准化'!F7,'3_标准化'!F8,'3_标准化'!F10,'3_标准化'!F11),AVERAGE('3_标准化'!F12,'3_标准化'!F13,'3_标准化'!F14,'3_标准化'!F15))-VAR.P(AVERAGE('3_标准化'!F3,'3_标准化'!F4,'3_标准化'!F5,'3_标准化'!F6),AVERAGE('3_标准化'!F7,'3_标准化'!F8,'3_标准化'!F10,'3_标准化'!F11),AVERAGE('3_标准化'!F12,'3_标准化'!F13,'3_标准化'!F14,'3_标准化'!F15))/AVERAGE(AVERAGE('3_标准化'!F3,'3_标准化'!F4,'3_标准化'!F5,'3_标准化'!F6),AVERAGE('3_标准化'!F7,'3_标准化'!F8,'3_标准化'!F10,'3_标准化'!F11),AVERAGE('3_标准化'!F12,'3_标准化'!F13,'3_标准化'!F14,'3_标准化'!F15)))</f>
        <v/>
      </c>
      <c r="G9" s="18">
        <f>(AVERAGE(AVERAGE('3_标准化'!G3,'3_标准化'!G4,'3_标准化'!G5,'3_标准化'!G6),AVERAGE('3_标准化'!G7,'3_标准化'!G8,'3_标准化'!G10,'3_标准化'!G11),AVERAGE('3_标准化'!G12,'3_标准化'!G13,'3_标准化'!G14,'3_标准化'!G15))-VAR.P(AVERAGE('3_标准化'!G3,'3_标准化'!G4,'3_标准化'!G5,'3_标准化'!G6),AVERAGE('3_标准化'!G7,'3_标准化'!G8,'3_标准化'!G10,'3_标准化'!G11),AVERAGE('3_标准化'!G12,'3_标准化'!G13,'3_标准化'!G14,'3_标准化'!G15))/AVERAGE(AVERAGE('3_标准化'!G3,'3_标准化'!G4,'3_标准化'!G5,'3_标准化'!G6),AVERAGE('3_标准化'!G7,'3_标准化'!G8,'3_标准化'!G10,'3_标准化'!G11),AVERAGE('3_标准化'!G12,'3_标准化'!G13,'3_标准化'!G14,'3_标准化'!G15)))</f>
        <v/>
      </c>
      <c r="H9" s="18">
        <f>(AVERAGE(AVERAGE('3_标准化'!H3,'3_标准化'!H4,'3_标准化'!H5,'3_标准化'!H6),AVERAGE('3_标准化'!H7,'3_标准化'!H8,'3_标准化'!H10,'3_标准化'!H11),AVERAGE('3_标准化'!H12,'3_标准化'!H13,'3_标准化'!H14,'3_标准化'!H15))-VAR.P(AVERAGE('3_标准化'!H3,'3_标准化'!H4,'3_标准化'!H5,'3_标准化'!H6),AVERAGE('3_标准化'!H7,'3_标准化'!H8,'3_标准化'!H10,'3_标准化'!H11),AVERAGE('3_标准化'!H12,'3_标准化'!H13,'3_标准化'!H14,'3_标准化'!H15))/AVERAGE(AVERAGE('3_标准化'!H3,'3_标准化'!H4,'3_标准化'!H5,'3_标准化'!H6),AVERAGE('3_标准化'!H7,'3_标准化'!H8,'3_标准化'!H10,'3_标准化'!H11),AVERAGE('3_标准化'!H12,'3_标准化'!H13,'3_标准化'!H14,'3_标准化'!H15)))</f>
        <v/>
      </c>
      <c r="I9" s="18">
        <f>(AVERAGE(AVERAGE('3_标准化'!I3,'3_标准化'!I4,'3_标准化'!I5,'3_标准化'!I6),AVERAGE('3_标准化'!I7,'3_标准化'!I8,'3_标准化'!I10,'3_标准化'!I11),AVERAGE('3_标准化'!I12,'3_标准化'!I13,'3_标准化'!I14,'3_标准化'!I15))-VAR.P(AVERAGE('3_标准化'!I3,'3_标准化'!I4,'3_标准化'!I5,'3_标准化'!I6),AVERAGE('3_标准化'!I7,'3_标准化'!I8,'3_标准化'!I10,'3_标准化'!I11),AVERAGE('3_标准化'!I12,'3_标准化'!I13,'3_标准化'!I14,'3_标准化'!I15))/AVERAGE(AVERAGE('3_标准化'!I3,'3_标准化'!I4,'3_标准化'!I5,'3_标准化'!I6),AVERAGE('3_标准化'!I7,'3_标准化'!I8,'3_标准化'!I10,'3_标准化'!I11),AVERAGE('3_标准化'!I12,'3_标准化'!I13,'3_标准化'!I14,'3_标准化'!I15)))</f>
        <v/>
      </c>
      <c r="J9" s="18">
        <f>(AVERAGE(AVERAGE('3_标准化'!J3,'3_标准化'!J4,'3_标准化'!J5,'3_标准化'!J6),AVERAGE('3_标准化'!J7,'3_标准化'!J8,'3_标准化'!J10,'3_标准化'!J11),AVERAGE('3_标准化'!J12,'3_标准化'!J13,'3_标准化'!J14,'3_标准化'!J15))-VAR.P(AVERAGE('3_标准化'!J3,'3_标准化'!J4,'3_标准化'!J5,'3_标准化'!J6),AVERAGE('3_标准化'!J7,'3_标准化'!J8,'3_标准化'!J10,'3_标准化'!J11),AVERAGE('3_标准化'!J12,'3_标准化'!J13,'3_标准化'!J14,'3_标准化'!J15))/AVERAGE(AVERAGE('3_标准化'!J3,'3_标准化'!J4,'3_标准化'!J5,'3_标准化'!J6),AVERAGE('3_标准化'!J7,'3_标准化'!J8,'3_标准化'!J10,'3_标准化'!J11),AVERAGE('3_标准化'!J12,'3_标准化'!J13,'3_标准化'!J14,'3_标准化'!J15)))</f>
        <v/>
      </c>
      <c r="K9" s="18">
        <f>(AVERAGE(AVERAGE('3_标准化'!K3,'3_标准化'!K4,'3_标准化'!K5,'3_标准化'!K6),AVERAGE('3_标准化'!K7,'3_标准化'!K8,'3_标准化'!K10,'3_标准化'!K11),AVERAGE('3_标准化'!K12,'3_标准化'!K13,'3_标准化'!K14,'3_标准化'!K15))-VAR.P(AVERAGE('3_标准化'!K3,'3_标准化'!K4,'3_标准化'!K5,'3_标准化'!K6),AVERAGE('3_标准化'!K7,'3_标准化'!K8,'3_标准化'!K10,'3_标准化'!K11),AVERAGE('3_标准化'!K12,'3_标准化'!K13,'3_标准化'!K14,'3_标准化'!K15))/AVERAGE(AVERAGE('3_标准化'!K3,'3_标准化'!K4,'3_标准化'!K5,'3_标准化'!K6),AVERAGE('3_标准化'!K7,'3_标准化'!K8,'3_标准化'!K10,'3_标准化'!K11),AVERAGE('3_标准化'!K12,'3_标准化'!K13,'3_标准化'!K14,'3_标准化'!K15)))</f>
        <v/>
      </c>
      <c r="L9" s="18">
        <f>(AVERAGE(AVERAGE('3_标准化'!L3,'3_标准化'!L4,'3_标准化'!L5,'3_标准化'!L6),AVERAGE('3_标准化'!L7,'3_标准化'!L8,'3_标准化'!L10,'3_标准化'!L11),AVERAGE('3_标准化'!L12,'3_标准化'!L13,'3_标准化'!L14,'3_标准化'!L15))-VAR.P(AVERAGE('3_标准化'!L3,'3_标准化'!L4,'3_标准化'!L5,'3_标准化'!L6),AVERAGE('3_标准化'!L7,'3_标准化'!L8,'3_标准化'!L10,'3_标准化'!L11),AVERAGE('3_标准化'!L12,'3_标准化'!L13,'3_标准化'!L14,'3_标准化'!L15))/AVERAGE(AVERAGE('3_标准化'!L3,'3_标准化'!L4,'3_标准化'!L5,'3_标准化'!L6),AVERAGE('3_标准化'!L7,'3_标准化'!L8,'3_标准化'!L10,'3_标准化'!L11),AVERAGE('3_标准化'!L12,'3_标准化'!L13,'3_标准化'!L14,'3_标准化'!L15)))</f>
        <v/>
      </c>
      <c r="M9" s="5">
        <f>IF(AVERAGE('3_标准化'!C7,'3_标准化'!C8,'3_标准化'!C10,'3_标准化'!C11)=MIN(AVERAGE('3_标准化'!C3,'3_标准化'!C4,'3_标准化'!C5,'3_标准化'!C6),AVERAGE('3_标准化'!C7,'3_标准化'!C8,'3_标准化'!C10,'3_标准化'!C11),AVERAGE('3_标准化'!C12,'3_标准化'!C13,'3_标准化'!C14,'3_标准化'!C15)),1,0)+IF(AVERAGE('3_标准化'!D7,'3_标准化'!D8,'3_标准化'!D10,'3_标准化'!D11)=MIN(AVERAGE('3_标准化'!D3,'3_标准化'!D4,'3_标准化'!D5,'3_标准化'!D6),AVERAGE('3_标准化'!D7,'3_标准化'!D8,'3_标准化'!D10,'3_标准化'!D11),AVERAGE('3_标准化'!D12,'3_标准化'!D13,'3_标准化'!D14,'3_标准化'!D15)),1,0)+IF(AVERAGE('3_标准化'!E7,'3_标准化'!E8,'3_标准化'!E10,'3_标准化'!E11)=MIN(AVERAGE('3_标准化'!E3,'3_标准化'!E4,'3_标准化'!E5,'3_标准化'!E6),AVERAGE('3_标准化'!E7,'3_标准化'!E8,'3_标准化'!E10,'3_标准化'!E11),AVERAGE('3_标准化'!E12,'3_标准化'!E13,'3_标准化'!E14,'3_标准化'!E15)),1,0)+IF(AVERAGE('3_标准化'!F7,'3_标准化'!F8,'3_标准化'!F10,'3_标准化'!F11)=MIN(AVERAGE('3_标准化'!F3,'3_标准化'!F4,'3_标准化'!F5,'3_标准化'!F6),AVERAGE('3_标准化'!F7,'3_标准化'!F8,'3_标准化'!F10,'3_标准化'!F11),AVERAGE('3_标准化'!F12,'3_标准化'!F13,'3_标准化'!F14,'3_标准化'!F15)),1,0)+IF(AVERAGE('3_标准化'!G7,'3_标准化'!G8,'3_标准化'!G10,'3_标准化'!G11)=MIN(AVERAGE('3_标准化'!G3,'3_标准化'!G4,'3_标准化'!G5,'3_标准化'!G6),AVERAGE('3_标准化'!G7,'3_标准化'!G8,'3_标准化'!G10,'3_标准化'!G11),AVERAGE('3_标准化'!G12,'3_标准化'!G13,'3_标准化'!G14,'3_标准化'!G15)),1,0)+IF(AVERAGE('3_标准化'!H7,'3_标准化'!H8,'3_标准化'!H10,'3_标准化'!H11)=MIN(AVERAGE('3_标准化'!H3,'3_标准化'!H4,'3_标准化'!H5,'3_标准化'!H6),AVERAGE('3_标准化'!H7,'3_标准化'!H8,'3_标准化'!H10,'3_标准化'!H11),AVERAGE('3_标准化'!H12,'3_标准化'!H13,'3_标准化'!H14,'3_标准化'!H15)),1,0)+IF(AVERAGE('3_标准化'!I7,'3_标准化'!I8,'3_标准化'!I10,'3_标准化'!I11)=MIN(AVERAGE('3_标准化'!I3,'3_标准化'!I4,'3_标准化'!I5,'3_标准化'!I6),AVERAGE('3_标准化'!I7,'3_标准化'!I8,'3_标准化'!I10,'3_标准化'!I11),AVERAGE('3_标准化'!I12,'3_标准化'!I13,'3_标准化'!I14,'3_标准化'!I15)),1,0)+IF(AVERAGE('3_标准化'!J7,'3_标准化'!J8,'3_标准化'!J10,'3_标准化'!J11)=MIN(AVERAGE('3_标准化'!J3,'3_标准化'!J4,'3_标准化'!J5,'3_标准化'!J6),AVERAGE('3_标准化'!J7,'3_标准化'!J8,'3_标准化'!J10,'3_标准化'!J11),AVERAGE('3_标准化'!J12,'3_标准化'!J13,'3_标准化'!J14,'3_标准化'!J15)),1,0)+IF(AVERAGE('3_标准化'!K7,'3_标准化'!K8,'3_标准化'!K10,'3_标准化'!K11)=MIN(AVERAGE('3_标准化'!K3,'3_标准化'!K4,'3_标准化'!K5,'3_标准化'!K6),AVERAGE('3_标准化'!K7,'3_标准化'!K8,'3_标准化'!K10,'3_标准化'!K11),AVERAGE('3_标准化'!K12,'3_标准化'!K13,'3_标准化'!K14,'3_标准化'!K15)),1,0)+IF(AVERAGE('3_标准化'!L7,'3_标准化'!L8,'3_标准化'!L10,'3_标准化'!L11)=MIN(AVERAGE('3_标准化'!L3,'3_标准化'!L4,'3_标准化'!L5,'3_标准化'!L6),AVERAGE('3_标准化'!L7,'3_标准化'!L8,'3_标准化'!L10,'3_标准化'!L11),AVERAGE('3_标准化'!L12,'3_标准化'!L13,'3_标准化'!L14,'3_标准化'!L15)),1,0)</f>
        <v/>
      </c>
      <c r="N9" s="18">
        <f>C9</f>
        <v/>
      </c>
      <c r="O9" s="20">
        <f>L9</f>
        <v/>
      </c>
    </row>
    <row r="10">
      <c r="A10" s="5" t="inlineStr">
        <is>
          <t>D4 人均接待游客</t>
        </is>
      </c>
      <c r="B10" s="5" t="inlineStr">
        <is>
          <t>发展 D</t>
        </is>
      </c>
      <c r="C10" s="18">
        <f>(AVERAGE(AVERAGE('3_标准化'!C3,'3_标准化'!C4,'3_标准化'!C5,'3_标准化'!C6),AVERAGE('3_标准化'!C7,'3_标准化'!C8,'3_标准化'!C9,'3_标准化'!C11),AVERAGE('3_标准化'!C12,'3_标准化'!C13,'3_标准化'!C14,'3_标准化'!C15))-VAR.P(AVERAGE('3_标准化'!C3,'3_标准化'!C4,'3_标准化'!C5,'3_标准化'!C6),AVERAGE('3_标准化'!C7,'3_标准化'!C8,'3_标准化'!C9,'3_标准化'!C11),AVERAGE('3_标准化'!C12,'3_标准化'!C13,'3_标准化'!C14,'3_标准化'!C15))/AVERAGE(AVERAGE('3_标准化'!C3,'3_标准化'!C4,'3_标准化'!C5,'3_标准化'!C6),AVERAGE('3_标准化'!C7,'3_标准化'!C8,'3_标准化'!C9,'3_标准化'!C11),AVERAGE('3_标准化'!C12,'3_标准化'!C13,'3_标准化'!C14,'3_标准化'!C15)))</f>
        <v/>
      </c>
      <c r="D10" s="18">
        <f>(AVERAGE(AVERAGE('3_标准化'!D3,'3_标准化'!D4,'3_标准化'!D5,'3_标准化'!D6),AVERAGE('3_标准化'!D7,'3_标准化'!D8,'3_标准化'!D9,'3_标准化'!D11),AVERAGE('3_标准化'!D12,'3_标准化'!D13,'3_标准化'!D14,'3_标准化'!D15))-VAR.P(AVERAGE('3_标准化'!D3,'3_标准化'!D4,'3_标准化'!D5,'3_标准化'!D6),AVERAGE('3_标准化'!D7,'3_标准化'!D8,'3_标准化'!D9,'3_标准化'!D11),AVERAGE('3_标准化'!D12,'3_标准化'!D13,'3_标准化'!D14,'3_标准化'!D15))/AVERAGE(AVERAGE('3_标准化'!D3,'3_标准化'!D4,'3_标准化'!D5,'3_标准化'!D6),AVERAGE('3_标准化'!D7,'3_标准化'!D8,'3_标准化'!D9,'3_标准化'!D11),AVERAGE('3_标准化'!D12,'3_标准化'!D13,'3_标准化'!D14,'3_标准化'!D15)))</f>
        <v/>
      </c>
      <c r="E10" s="18">
        <f>(AVERAGE(AVERAGE('3_标准化'!E3,'3_标准化'!E4,'3_标准化'!E5,'3_标准化'!E6),AVERAGE('3_标准化'!E7,'3_标准化'!E8,'3_标准化'!E9,'3_标准化'!E11),AVERAGE('3_标准化'!E12,'3_标准化'!E13,'3_标准化'!E14,'3_标准化'!E15))-VAR.P(AVERAGE('3_标准化'!E3,'3_标准化'!E4,'3_标准化'!E5,'3_标准化'!E6),AVERAGE('3_标准化'!E7,'3_标准化'!E8,'3_标准化'!E9,'3_标准化'!E11),AVERAGE('3_标准化'!E12,'3_标准化'!E13,'3_标准化'!E14,'3_标准化'!E15))/AVERAGE(AVERAGE('3_标准化'!E3,'3_标准化'!E4,'3_标准化'!E5,'3_标准化'!E6),AVERAGE('3_标准化'!E7,'3_标准化'!E8,'3_标准化'!E9,'3_标准化'!E11),AVERAGE('3_标准化'!E12,'3_标准化'!E13,'3_标准化'!E14,'3_标准化'!E15)))</f>
        <v/>
      </c>
      <c r="F10" s="18">
        <f>(AVERAGE(AVERAGE('3_标准化'!F3,'3_标准化'!F4,'3_标准化'!F5,'3_标准化'!F6),AVERAGE('3_标准化'!F7,'3_标准化'!F8,'3_标准化'!F9,'3_标准化'!F11),AVERAGE('3_标准化'!F12,'3_标准化'!F13,'3_标准化'!F14,'3_标准化'!F15))-VAR.P(AVERAGE('3_标准化'!F3,'3_标准化'!F4,'3_标准化'!F5,'3_标准化'!F6),AVERAGE('3_标准化'!F7,'3_标准化'!F8,'3_标准化'!F9,'3_标准化'!F11),AVERAGE('3_标准化'!F12,'3_标准化'!F13,'3_标准化'!F14,'3_标准化'!F15))/AVERAGE(AVERAGE('3_标准化'!F3,'3_标准化'!F4,'3_标准化'!F5,'3_标准化'!F6),AVERAGE('3_标准化'!F7,'3_标准化'!F8,'3_标准化'!F9,'3_标准化'!F11),AVERAGE('3_标准化'!F12,'3_标准化'!F13,'3_标准化'!F14,'3_标准化'!F15)))</f>
        <v/>
      </c>
      <c r="G10" s="18">
        <f>(AVERAGE(AVERAGE('3_标准化'!G3,'3_标准化'!G4,'3_标准化'!G5,'3_标准化'!G6),AVERAGE('3_标准化'!G7,'3_标准化'!G8,'3_标准化'!G9,'3_标准化'!G11),AVERAGE('3_标准化'!G12,'3_标准化'!G13,'3_标准化'!G14,'3_标准化'!G15))-VAR.P(AVERAGE('3_标准化'!G3,'3_标准化'!G4,'3_标准化'!G5,'3_标准化'!G6),AVERAGE('3_标准化'!G7,'3_标准化'!G8,'3_标准化'!G9,'3_标准化'!G11),AVERAGE('3_标准化'!G12,'3_标准化'!G13,'3_标准化'!G14,'3_标准化'!G15))/AVERAGE(AVERAGE('3_标准化'!G3,'3_标准化'!G4,'3_标准化'!G5,'3_标准化'!G6),AVERAGE('3_标准化'!G7,'3_标准化'!G8,'3_标准化'!G9,'3_标准化'!G11),AVERAGE('3_标准化'!G12,'3_标准化'!G13,'3_标准化'!G14,'3_标准化'!G15)))</f>
        <v/>
      </c>
      <c r="H10" s="18">
        <f>(AVERAGE(AVERAGE('3_标准化'!H3,'3_标准化'!H4,'3_标准化'!H5,'3_标准化'!H6),AVERAGE('3_标准化'!H7,'3_标准化'!H8,'3_标准化'!H9,'3_标准化'!H11),AVERAGE('3_标准化'!H12,'3_标准化'!H13,'3_标准化'!H14,'3_标准化'!H15))-VAR.P(AVERAGE('3_标准化'!H3,'3_标准化'!H4,'3_标准化'!H5,'3_标准化'!H6),AVERAGE('3_标准化'!H7,'3_标准化'!H8,'3_标准化'!H9,'3_标准化'!H11),AVERAGE('3_标准化'!H12,'3_标准化'!H13,'3_标准化'!H14,'3_标准化'!H15))/AVERAGE(AVERAGE('3_标准化'!H3,'3_标准化'!H4,'3_标准化'!H5,'3_标准化'!H6),AVERAGE('3_标准化'!H7,'3_标准化'!H8,'3_标准化'!H9,'3_标准化'!H11),AVERAGE('3_标准化'!H12,'3_标准化'!H13,'3_标准化'!H14,'3_标准化'!H15)))</f>
        <v/>
      </c>
      <c r="I10" s="18">
        <f>(AVERAGE(AVERAGE('3_标准化'!I3,'3_标准化'!I4,'3_标准化'!I5,'3_标准化'!I6),AVERAGE('3_标准化'!I7,'3_标准化'!I8,'3_标准化'!I9,'3_标准化'!I11),AVERAGE('3_标准化'!I12,'3_标准化'!I13,'3_标准化'!I14,'3_标准化'!I15))-VAR.P(AVERAGE('3_标准化'!I3,'3_标准化'!I4,'3_标准化'!I5,'3_标准化'!I6),AVERAGE('3_标准化'!I7,'3_标准化'!I8,'3_标准化'!I9,'3_标准化'!I11),AVERAGE('3_标准化'!I12,'3_标准化'!I13,'3_标准化'!I14,'3_标准化'!I15))/AVERAGE(AVERAGE('3_标准化'!I3,'3_标准化'!I4,'3_标准化'!I5,'3_标准化'!I6),AVERAGE('3_标准化'!I7,'3_标准化'!I8,'3_标准化'!I9,'3_标准化'!I11),AVERAGE('3_标准化'!I12,'3_标准化'!I13,'3_标准化'!I14,'3_标准化'!I15)))</f>
        <v/>
      </c>
      <c r="J10" s="18">
        <f>(AVERAGE(AVERAGE('3_标准化'!J3,'3_标准化'!J4,'3_标准化'!J5,'3_标准化'!J6),AVERAGE('3_标准化'!J7,'3_标准化'!J8,'3_标准化'!J9,'3_标准化'!J11),AVERAGE('3_标准化'!J12,'3_标准化'!J13,'3_标准化'!J14,'3_标准化'!J15))-VAR.P(AVERAGE('3_标准化'!J3,'3_标准化'!J4,'3_标准化'!J5,'3_标准化'!J6),AVERAGE('3_标准化'!J7,'3_标准化'!J8,'3_标准化'!J9,'3_标准化'!J11),AVERAGE('3_标准化'!J12,'3_标准化'!J13,'3_标准化'!J14,'3_标准化'!J15))/AVERAGE(AVERAGE('3_标准化'!J3,'3_标准化'!J4,'3_标准化'!J5,'3_标准化'!J6),AVERAGE('3_标准化'!J7,'3_标准化'!J8,'3_标准化'!J9,'3_标准化'!J11),AVERAGE('3_标准化'!J12,'3_标准化'!J13,'3_标准化'!J14,'3_标准化'!J15)))</f>
        <v/>
      </c>
      <c r="K10" s="18">
        <f>(AVERAGE(AVERAGE('3_标准化'!K3,'3_标准化'!K4,'3_标准化'!K5,'3_标准化'!K6),AVERAGE('3_标准化'!K7,'3_标准化'!K8,'3_标准化'!K9,'3_标准化'!K11),AVERAGE('3_标准化'!K12,'3_标准化'!K13,'3_标准化'!K14,'3_标准化'!K15))-VAR.P(AVERAGE('3_标准化'!K3,'3_标准化'!K4,'3_标准化'!K5,'3_标准化'!K6),AVERAGE('3_标准化'!K7,'3_标准化'!K8,'3_标准化'!K9,'3_标准化'!K11),AVERAGE('3_标准化'!K12,'3_标准化'!K13,'3_标准化'!K14,'3_标准化'!K15))/AVERAGE(AVERAGE('3_标准化'!K3,'3_标准化'!K4,'3_标准化'!K5,'3_标准化'!K6),AVERAGE('3_标准化'!K7,'3_标准化'!K8,'3_标准化'!K9,'3_标准化'!K11),AVERAGE('3_标准化'!K12,'3_标准化'!K13,'3_标准化'!K14,'3_标准化'!K15)))</f>
        <v/>
      </c>
      <c r="L10" s="18">
        <f>(AVERAGE(AVERAGE('3_标准化'!L3,'3_标准化'!L4,'3_标准化'!L5,'3_标准化'!L6),AVERAGE('3_标准化'!L7,'3_标准化'!L8,'3_标准化'!L9,'3_标准化'!L11),AVERAGE('3_标准化'!L12,'3_标准化'!L13,'3_标准化'!L14,'3_标准化'!L15))-VAR.P(AVERAGE('3_标准化'!L3,'3_标准化'!L4,'3_标准化'!L5,'3_标准化'!L6),AVERAGE('3_标准化'!L7,'3_标准化'!L8,'3_标准化'!L9,'3_标准化'!L11),AVERAGE('3_标准化'!L12,'3_标准化'!L13,'3_标准化'!L14,'3_标准化'!L15))/AVERAGE(AVERAGE('3_标准化'!L3,'3_标准化'!L4,'3_标准化'!L5,'3_标准化'!L6),AVERAGE('3_标准化'!L7,'3_标准化'!L8,'3_标准化'!L9,'3_标准化'!L11),AVERAGE('3_标准化'!L12,'3_标准化'!L13,'3_标准化'!L14,'3_标准化'!L15)))</f>
        <v/>
      </c>
      <c r="M10" s="5">
        <f>IF(AVERAGE('3_标准化'!C7,'3_标准化'!C8,'3_标准化'!C9,'3_标准化'!C11)=MIN(AVERAGE('3_标准化'!C3,'3_标准化'!C4,'3_标准化'!C5,'3_标准化'!C6),AVERAGE('3_标准化'!C7,'3_标准化'!C8,'3_标准化'!C9,'3_标准化'!C11),AVERAGE('3_标准化'!C12,'3_标准化'!C13,'3_标准化'!C14,'3_标准化'!C15)),1,0)+IF(AVERAGE('3_标准化'!D7,'3_标准化'!D8,'3_标准化'!D9,'3_标准化'!D11)=MIN(AVERAGE('3_标准化'!D3,'3_标准化'!D4,'3_标准化'!D5,'3_标准化'!D6),AVERAGE('3_标准化'!D7,'3_标准化'!D8,'3_标准化'!D9,'3_标准化'!D11),AVERAGE('3_标准化'!D12,'3_标准化'!D13,'3_标准化'!D14,'3_标准化'!D15)),1,0)+IF(AVERAGE('3_标准化'!E7,'3_标准化'!E8,'3_标准化'!E9,'3_标准化'!E11)=MIN(AVERAGE('3_标准化'!E3,'3_标准化'!E4,'3_标准化'!E5,'3_标准化'!E6),AVERAGE('3_标准化'!E7,'3_标准化'!E8,'3_标准化'!E9,'3_标准化'!E11),AVERAGE('3_标准化'!E12,'3_标准化'!E13,'3_标准化'!E14,'3_标准化'!E15)),1,0)+IF(AVERAGE('3_标准化'!F7,'3_标准化'!F8,'3_标准化'!F9,'3_标准化'!F11)=MIN(AVERAGE('3_标准化'!F3,'3_标准化'!F4,'3_标准化'!F5,'3_标准化'!F6),AVERAGE('3_标准化'!F7,'3_标准化'!F8,'3_标准化'!F9,'3_标准化'!F11),AVERAGE('3_标准化'!F12,'3_标准化'!F13,'3_标准化'!F14,'3_标准化'!F15)),1,0)+IF(AVERAGE('3_标准化'!G7,'3_标准化'!G8,'3_标准化'!G9,'3_标准化'!G11)=MIN(AVERAGE('3_标准化'!G3,'3_标准化'!G4,'3_标准化'!G5,'3_标准化'!G6),AVERAGE('3_标准化'!G7,'3_标准化'!G8,'3_标准化'!G9,'3_标准化'!G11),AVERAGE('3_标准化'!G12,'3_标准化'!G13,'3_标准化'!G14,'3_标准化'!G15)),1,0)+IF(AVERAGE('3_标准化'!H7,'3_标准化'!H8,'3_标准化'!H9,'3_标准化'!H11)=MIN(AVERAGE('3_标准化'!H3,'3_标准化'!H4,'3_标准化'!H5,'3_标准化'!H6),AVERAGE('3_标准化'!H7,'3_标准化'!H8,'3_标准化'!H9,'3_标准化'!H11),AVERAGE('3_标准化'!H12,'3_标准化'!H13,'3_标准化'!H14,'3_标准化'!H15)),1,0)+IF(AVERAGE('3_标准化'!I7,'3_标准化'!I8,'3_标准化'!I9,'3_标准化'!I11)=MIN(AVERAGE('3_标准化'!I3,'3_标准化'!I4,'3_标准化'!I5,'3_标准化'!I6),AVERAGE('3_标准化'!I7,'3_标准化'!I8,'3_标准化'!I9,'3_标准化'!I11),AVERAGE('3_标准化'!I12,'3_标准化'!I13,'3_标准化'!I14,'3_标准化'!I15)),1,0)+IF(AVERAGE('3_标准化'!J7,'3_标准化'!J8,'3_标准化'!J9,'3_标准化'!J11)=MIN(AVERAGE('3_标准化'!J3,'3_标准化'!J4,'3_标准化'!J5,'3_标准化'!J6),AVERAGE('3_标准化'!J7,'3_标准化'!J8,'3_标准化'!J9,'3_标准化'!J11),AVERAGE('3_标准化'!J12,'3_标准化'!J13,'3_标准化'!J14,'3_标准化'!J15)),1,0)+IF(AVERAGE('3_标准化'!K7,'3_标准化'!K8,'3_标准化'!K9,'3_标准化'!K11)=MIN(AVERAGE('3_标准化'!K3,'3_标准化'!K4,'3_标准化'!K5,'3_标准化'!K6),AVERAGE('3_标准化'!K7,'3_标准化'!K8,'3_标准化'!K9,'3_标准化'!K11),AVERAGE('3_标准化'!K12,'3_标准化'!K13,'3_标准化'!K14,'3_标准化'!K15)),1,0)+IF(AVERAGE('3_标准化'!L7,'3_标准化'!L8,'3_标准化'!L9,'3_标准化'!L11)=MIN(AVERAGE('3_标准化'!L3,'3_标准化'!L4,'3_标准化'!L5,'3_标准化'!L6),AVERAGE('3_标准化'!L7,'3_标准化'!L8,'3_标准化'!L9,'3_标准化'!L11),AVERAGE('3_标准化'!L12,'3_标准化'!L13,'3_标准化'!L14,'3_标准化'!L15)),1,0)</f>
        <v/>
      </c>
      <c r="N10" s="18">
        <f>C10</f>
        <v/>
      </c>
      <c r="O10" s="20">
        <f>L10</f>
        <v/>
      </c>
    </row>
    <row r="11">
      <c r="A11" s="5" t="inlineStr">
        <is>
          <t>D5 发电量</t>
        </is>
      </c>
      <c r="B11" s="5" t="inlineStr">
        <is>
          <t>发展 D</t>
        </is>
      </c>
      <c r="C11" s="18">
        <f>(AVERAGE(AVERAGE('3_标准化'!C3,'3_标准化'!C4,'3_标准化'!C5,'3_标准化'!C6),AVERAGE('3_标准化'!C7,'3_标准化'!C8,'3_标准化'!C9,'3_标准化'!C10),AVERAGE('3_标准化'!C12,'3_标准化'!C13,'3_标准化'!C14,'3_标准化'!C15))-VAR.P(AVERAGE('3_标准化'!C3,'3_标准化'!C4,'3_标准化'!C5,'3_标准化'!C6),AVERAGE('3_标准化'!C7,'3_标准化'!C8,'3_标准化'!C9,'3_标准化'!C10),AVERAGE('3_标准化'!C12,'3_标准化'!C13,'3_标准化'!C14,'3_标准化'!C15))/AVERAGE(AVERAGE('3_标准化'!C3,'3_标准化'!C4,'3_标准化'!C5,'3_标准化'!C6),AVERAGE('3_标准化'!C7,'3_标准化'!C8,'3_标准化'!C9,'3_标准化'!C10),AVERAGE('3_标准化'!C12,'3_标准化'!C13,'3_标准化'!C14,'3_标准化'!C15)))</f>
        <v/>
      </c>
      <c r="D11" s="18">
        <f>(AVERAGE(AVERAGE('3_标准化'!D3,'3_标准化'!D4,'3_标准化'!D5,'3_标准化'!D6),AVERAGE('3_标准化'!D7,'3_标准化'!D8,'3_标准化'!D9,'3_标准化'!D10),AVERAGE('3_标准化'!D12,'3_标准化'!D13,'3_标准化'!D14,'3_标准化'!D15))-VAR.P(AVERAGE('3_标准化'!D3,'3_标准化'!D4,'3_标准化'!D5,'3_标准化'!D6),AVERAGE('3_标准化'!D7,'3_标准化'!D8,'3_标准化'!D9,'3_标准化'!D10),AVERAGE('3_标准化'!D12,'3_标准化'!D13,'3_标准化'!D14,'3_标准化'!D15))/AVERAGE(AVERAGE('3_标准化'!D3,'3_标准化'!D4,'3_标准化'!D5,'3_标准化'!D6),AVERAGE('3_标准化'!D7,'3_标准化'!D8,'3_标准化'!D9,'3_标准化'!D10),AVERAGE('3_标准化'!D12,'3_标准化'!D13,'3_标准化'!D14,'3_标准化'!D15)))</f>
        <v/>
      </c>
      <c r="E11" s="18">
        <f>(AVERAGE(AVERAGE('3_标准化'!E3,'3_标准化'!E4,'3_标准化'!E5,'3_标准化'!E6),AVERAGE('3_标准化'!E7,'3_标准化'!E8,'3_标准化'!E9,'3_标准化'!E10),AVERAGE('3_标准化'!E12,'3_标准化'!E13,'3_标准化'!E14,'3_标准化'!E15))-VAR.P(AVERAGE('3_标准化'!E3,'3_标准化'!E4,'3_标准化'!E5,'3_标准化'!E6),AVERAGE('3_标准化'!E7,'3_标准化'!E8,'3_标准化'!E9,'3_标准化'!E10),AVERAGE('3_标准化'!E12,'3_标准化'!E13,'3_标准化'!E14,'3_标准化'!E15))/AVERAGE(AVERAGE('3_标准化'!E3,'3_标准化'!E4,'3_标准化'!E5,'3_标准化'!E6),AVERAGE('3_标准化'!E7,'3_标准化'!E8,'3_标准化'!E9,'3_标准化'!E10),AVERAGE('3_标准化'!E12,'3_标准化'!E13,'3_标准化'!E14,'3_标准化'!E15)))</f>
        <v/>
      </c>
      <c r="F11" s="18">
        <f>(AVERAGE(AVERAGE('3_标准化'!F3,'3_标准化'!F4,'3_标准化'!F5,'3_标准化'!F6),AVERAGE('3_标准化'!F7,'3_标准化'!F8,'3_标准化'!F9,'3_标准化'!F10),AVERAGE('3_标准化'!F12,'3_标准化'!F13,'3_标准化'!F14,'3_标准化'!F15))-VAR.P(AVERAGE('3_标准化'!F3,'3_标准化'!F4,'3_标准化'!F5,'3_标准化'!F6),AVERAGE('3_标准化'!F7,'3_标准化'!F8,'3_标准化'!F9,'3_标准化'!F10),AVERAGE('3_标准化'!F12,'3_标准化'!F13,'3_标准化'!F14,'3_标准化'!F15))/AVERAGE(AVERAGE('3_标准化'!F3,'3_标准化'!F4,'3_标准化'!F5,'3_标准化'!F6),AVERAGE('3_标准化'!F7,'3_标准化'!F8,'3_标准化'!F9,'3_标准化'!F10),AVERAGE('3_标准化'!F12,'3_标准化'!F13,'3_标准化'!F14,'3_标准化'!F15)))</f>
        <v/>
      </c>
      <c r="G11" s="18">
        <f>(AVERAGE(AVERAGE('3_标准化'!G3,'3_标准化'!G4,'3_标准化'!G5,'3_标准化'!G6),AVERAGE('3_标准化'!G7,'3_标准化'!G8,'3_标准化'!G9,'3_标准化'!G10),AVERAGE('3_标准化'!G12,'3_标准化'!G13,'3_标准化'!G14,'3_标准化'!G15))-VAR.P(AVERAGE('3_标准化'!G3,'3_标准化'!G4,'3_标准化'!G5,'3_标准化'!G6),AVERAGE('3_标准化'!G7,'3_标准化'!G8,'3_标准化'!G9,'3_标准化'!G10),AVERAGE('3_标准化'!G12,'3_标准化'!G13,'3_标准化'!G14,'3_标准化'!G15))/AVERAGE(AVERAGE('3_标准化'!G3,'3_标准化'!G4,'3_标准化'!G5,'3_标准化'!G6),AVERAGE('3_标准化'!G7,'3_标准化'!G8,'3_标准化'!G9,'3_标准化'!G10),AVERAGE('3_标准化'!G12,'3_标准化'!G13,'3_标准化'!G14,'3_标准化'!G15)))</f>
        <v/>
      </c>
      <c r="H11" s="18">
        <f>(AVERAGE(AVERAGE('3_标准化'!H3,'3_标准化'!H4,'3_标准化'!H5,'3_标准化'!H6),AVERAGE('3_标准化'!H7,'3_标准化'!H8,'3_标准化'!H9,'3_标准化'!H10),AVERAGE('3_标准化'!H12,'3_标准化'!H13,'3_标准化'!H14,'3_标准化'!H15))-VAR.P(AVERAGE('3_标准化'!H3,'3_标准化'!H4,'3_标准化'!H5,'3_标准化'!H6),AVERAGE('3_标准化'!H7,'3_标准化'!H8,'3_标准化'!H9,'3_标准化'!H10),AVERAGE('3_标准化'!H12,'3_标准化'!H13,'3_标准化'!H14,'3_标准化'!H15))/AVERAGE(AVERAGE('3_标准化'!H3,'3_标准化'!H4,'3_标准化'!H5,'3_标准化'!H6),AVERAGE('3_标准化'!H7,'3_标准化'!H8,'3_标准化'!H9,'3_标准化'!H10),AVERAGE('3_标准化'!H12,'3_标准化'!H13,'3_标准化'!H14,'3_标准化'!H15)))</f>
        <v/>
      </c>
      <c r="I11" s="18">
        <f>(AVERAGE(AVERAGE('3_标准化'!I3,'3_标准化'!I4,'3_标准化'!I5,'3_标准化'!I6),AVERAGE('3_标准化'!I7,'3_标准化'!I8,'3_标准化'!I9,'3_标准化'!I10),AVERAGE('3_标准化'!I12,'3_标准化'!I13,'3_标准化'!I14,'3_标准化'!I15))-VAR.P(AVERAGE('3_标准化'!I3,'3_标准化'!I4,'3_标准化'!I5,'3_标准化'!I6),AVERAGE('3_标准化'!I7,'3_标准化'!I8,'3_标准化'!I9,'3_标准化'!I10),AVERAGE('3_标准化'!I12,'3_标准化'!I13,'3_标准化'!I14,'3_标准化'!I15))/AVERAGE(AVERAGE('3_标准化'!I3,'3_标准化'!I4,'3_标准化'!I5,'3_标准化'!I6),AVERAGE('3_标准化'!I7,'3_标准化'!I8,'3_标准化'!I9,'3_标准化'!I10),AVERAGE('3_标准化'!I12,'3_标准化'!I13,'3_标准化'!I14,'3_标准化'!I15)))</f>
        <v/>
      </c>
      <c r="J11" s="18">
        <f>(AVERAGE(AVERAGE('3_标准化'!J3,'3_标准化'!J4,'3_标准化'!J5,'3_标准化'!J6),AVERAGE('3_标准化'!J7,'3_标准化'!J8,'3_标准化'!J9,'3_标准化'!J10),AVERAGE('3_标准化'!J12,'3_标准化'!J13,'3_标准化'!J14,'3_标准化'!J15))-VAR.P(AVERAGE('3_标准化'!J3,'3_标准化'!J4,'3_标准化'!J5,'3_标准化'!J6),AVERAGE('3_标准化'!J7,'3_标准化'!J8,'3_标准化'!J9,'3_标准化'!J10),AVERAGE('3_标准化'!J12,'3_标准化'!J13,'3_标准化'!J14,'3_标准化'!J15))/AVERAGE(AVERAGE('3_标准化'!J3,'3_标准化'!J4,'3_标准化'!J5,'3_标准化'!J6),AVERAGE('3_标准化'!J7,'3_标准化'!J8,'3_标准化'!J9,'3_标准化'!J10),AVERAGE('3_标准化'!J12,'3_标准化'!J13,'3_标准化'!J14,'3_标准化'!J15)))</f>
        <v/>
      </c>
      <c r="K11" s="18">
        <f>(AVERAGE(AVERAGE('3_标准化'!K3,'3_标准化'!K4,'3_标准化'!K5,'3_标准化'!K6),AVERAGE('3_标准化'!K7,'3_标准化'!K8,'3_标准化'!K9,'3_标准化'!K10),AVERAGE('3_标准化'!K12,'3_标准化'!K13,'3_标准化'!K14,'3_标准化'!K15))-VAR.P(AVERAGE('3_标准化'!K3,'3_标准化'!K4,'3_标准化'!K5,'3_标准化'!K6),AVERAGE('3_标准化'!K7,'3_标准化'!K8,'3_标准化'!K9,'3_标准化'!K10),AVERAGE('3_标准化'!K12,'3_标准化'!K13,'3_标准化'!K14,'3_标准化'!K15))/AVERAGE(AVERAGE('3_标准化'!K3,'3_标准化'!K4,'3_标准化'!K5,'3_标准化'!K6),AVERAGE('3_标准化'!K7,'3_标准化'!K8,'3_标准化'!K9,'3_标准化'!K10),AVERAGE('3_标准化'!K12,'3_标准化'!K13,'3_标准化'!K14,'3_标准化'!K15)))</f>
        <v/>
      </c>
      <c r="L11" s="18">
        <f>(AVERAGE(AVERAGE('3_标准化'!L3,'3_标准化'!L4,'3_标准化'!L5,'3_标准化'!L6),AVERAGE('3_标准化'!L7,'3_标准化'!L8,'3_标准化'!L9,'3_标准化'!L10),AVERAGE('3_标准化'!L12,'3_标准化'!L13,'3_标准化'!L14,'3_标准化'!L15))-VAR.P(AVERAGE('3_标准化'!L3,'3_标准化'!L4,'3_标准化'!L5,'3_标准化'!L6),AVERAGE('3_标准化'!L7,'3_标准化'!L8,'3_标准化'!L9,'3_标准化'!L10),AVERAGE('3_标准化'!L12,'3_标准化'!L13,'3_标准化'!L14,'3_标准化'!L15))/AVERAGE(AVERAGE('3_标准化'!L3,'3_标准化'!L4,'3_标准化'!L5,'3_标准化'!L6),AVERAGE('3_标准化'!L7,'3_标准化'!L8,'3_标准化'!L9,'3_标准化'!L10),AVERAGE('3_标准化'!L12,'3_标准化'!L13,'3_标准化'!L14,'3_标准化'!L15)))</f>
        <v/>
      </c>
      <c r="M11" s="5">
        <f>IF(AVERAGE('3_标准化'!C7,'3_标准化'!C8,'3_标准化'!C9,'3_标准化'!C10)=MIN(AVERAGE('3_标准化'!C3,'3_标准化'!C4,'3_标准化'!C5,'3_标准化'!C6),AVERAGE('3_标准化'!C7,'3_标准化'!C8,'3_标准化'!C9,'3_标准化'!C10),AVERAGE('3_标准化'!C12,'3_标准化'!C13,'3_标准化'!C14,'3_标准化'!C15)),1,0)+IF(AVERAGE('3_标准化'!D7,'3_标准化'!D8,'3_标准化'!D9,'3_标准化'!D10)=MIN(AVERAGE('3_标准化'!D3,'3_标准化'!D4,'3_标准化'!D5,'3_标准化'!D6),AVERAGE('3_标准化'!D7,'3_标准化'!D8,'3_标准化'!D9,'3_标准化'!D10),AVERAGE('3_标准化'!D12,'3_标准化'!D13,'3_标准化'!D14,'3_标准化'!D15)),1,0)+IF(AVERAGE('3_标准化'!E7,'3_标准化'!E8,'3_标准化'!E9,'3_标准化'!E10)=MIN(AVERAGE('3_标准化'!E3,'3_标准化'!E4,'3_标准化'!E5,'3_标准化'!E6),AVERAGE('3_标准化'!E7,'3_标准化'!E8,'3_标准化'!E9,'3_标准化'!E10),AVERAGE('3_标准化'!E12,'3_标准化'!E13,'3_标准化'!E14,'3_标准化'!E15)),1,0)+IF(AVERAGE('3_标准化'!F7,'3_标准化'!F8,'3_标准化'!F9,'3_标准化'!F10)=MIN(AVERAGE('3_标准化'!F3,'3_标准化'!F4,'3_标准化'!F5,'3_标准化'!F6),AVERAGE('3_标准化'!F7,'3_标准化'!F8,'3_标准化'!F9,'3_标准化'!F10),AVERAGE('3_标准化'!F12,'3_标准化'!F13,'3_标准化'!F14,'3_标准化'!F15)),1,0)+IF(AVERAGE('3_标准化'!G7,'3_标准化'!G8,'3_标准化'!G9,'3_标准化'!G10)=MIN(AVERAGE('3_标准化'!G3,'3_标准化'!G4,'3_标准化'!G5,'3_标准化'!G6),AVERAGE('3_标准化'!G7,'3_标准化'!G8,'3_标准化'!G9,'3_标准化'!G10),AVERAGE('3_标准化'!G12,'3_标准化'!G13,'3_标准化'!G14,'3_标准化'!G15)),1,0)+IF(AVERAGE('3_标准化'!H7,'3_标准化'!H8,'3_标准化'!H9,'3_标准化'!H10)=MIN(AVERAGE('3_标准化'!H3,'3_标准化'!H4,'3_标准化'!H5,'3_标准化'!H6),AVERAGE('3_标准化'!H7,'3_标准化'!H8,'3_标准化'!H9,'3_标准化'!H10),AVERAGE('3_标准化'!H12,'3_标准化'!H13,'3_标准化'!H14,'3_标准化'!H15)),1,0)+IF(AVERAGE('3_标准化'!I7,'3_标准化'!I8,'3_标准化'!I9,'3_标准化'!I10)=MIN(AVERAGE('3_标准化'!I3,'3_标准化'!I4,'3_标准化'!I5,'3_标准化'!I6),AVERAGE('3_标准化'!I7,'3_标准化'!I8,'3_标准化'!I9,'3_标准化'!I10),AVERAGE('3_标准化'!I12,'3_标准化'!I13,'3_标准化'!I14,'3_标准化'!I15)),1,0)+IF(AVERAGE('3_标准化'!J7,'3_标准化'!J8,'3_标准化'!J9,'3_标准化'!J10)=MIN(AVERAGE('3_标准化'!J3,'3_标准化'!J4,'3_标准化'!J5,'3_标准化'!J6),AVERAGE('3_标准化'!J7,'3_标准化'!J8,'3_标准化'!J9,'3_标准化'!J10),AVERAGE('3_标准化'!J12,'3_标准化'!J13,'3_标准化'!J14,'3_标准化'!J15)),1,0)+IF(AVERAGE('3_标准化'!K7,'3_标准化'!K8,'3_标准化'!K9,'3_标准化'!K10)=MIN(AVERAGE('3_标准化'!K3,'3_标准化'!K4,'3_标准化'!K5,'3_标准化'!K6),AVERAGE('3_标准化'!K7,'3_标准化'!K8,'3_标准化'!K9,'3_标准化'!K10),AVERAGE('3_标准化'!K12,'3_标准化'!K13,'3_标准化'!K14,'3_标准化'!K15)),1,0)+IF(AVERAGE('3_标准化'!L7,'3_标准化'!L8,'3_标准化'!L9,'3_标准化'!L10)=MIN(AVERAGE('3_标准化'!L3,'3_标准化'!L4,'3_标准化'!L5,'3_标准化'!L6),AVERAGE('3_标准化'!L7,'3_标准化'!L8,'3_标准化'!L9,'3_标准化'!L10),AVERAGE('3_标准化'!L12,'3_标准化'!L13,'3_标准化'!L14,'3_标准化'!L15)),1,0)</f>
        <v/>
      </c>
      <c r="N11" s="18">
        <f>C11</f>
        <v/>
      </c>
      <c r="O11" s="20">
        <f>L11</f>
        <v/>
      </c>
    </row>
    <row r="12">
      <c r="A12" s="5" t="inlineStr">
        <is>
          <t>E1 单位GDP能耗指数</t>
        </is>
      </c>
      <c r="B12" s="5" t="inlineStr">
        <is>
          <t>生态 E</t>
        </is>
      </c>
      <c r="C12" s="18">
        <f>(AVERAGE(AVERAGE('3_标准化'!C3,'3_标准化'!C4,'3_标准化'!C5,'3_标准化'!C6),AVERAGE('3_标准化'!C7,'3_标准化'!C8,'3_标准化'!C9,'3_标准化'!C10,'3_标准化'!C11),AVERAGE('3_标准化'!C13,'3_标准化'!C14,'3_标准化'!C15))-VAR.P(AVERAGE('3_标准化'!C3,'3_标准化'!C4,'3_标准化'!C5,'3_标准化'!C6),AVERAGE('3_标准化'!C7,'3_标准化'!C8,'3_标准化'!C9,'3_标准化'!C10,'3_标准化'!C11),AVERAGE('3_标准化'!C13,'3_标准化'!C14,'3_标准化'!C15))/AVERAGE(AVERAGE('3_标准化'!C3,'3_标准化'!C4,'3_标准化'!C5,'3_标准化'!C6),AVERAGE('3_标准化'!C7,'3_标准化'!C8,'3_标准化'!C9,'3_标准化'!C10,'3_标准化'!C11),AVERAGE('3_标准化'!C13,'3_标准化'!C14,'3_标准化'!C15)))</f>
        <v/>
      </c>
      <c r="D12" s="18">
        <f>(AVERAGE(AVERAGE('3_标准化'!D3,'3_标准化'!D4,'3_标准化'!D5,'3_标准化'!D6),AVERAGE('3_标准化'!D7,'3_标准化'!D8,'3_标准化'!D9,'3_标准化'!D10,'3_标准化'!D11),AVERAGE('3_标准化'!D13,'3_标准化'!D14,'3_标准化'!D15))-VAR.P(AVERAGE('3_标准化'!D3,'3_标准化'!D4,'3_标准化'!D5,'3_标准化'!D6),AVERAGE('3_标准化'!D7,'3_标准化'!D8,'3_标准化'!D9,'3_标准化'!D10,'3_标准化'!D11),AVERAGE('3_标准化'!D13,'3_标准化'!D14,'3_标准化'!D15))/AVERAGE(AVERAGE('3_标准化'!D3,'3_标准化'!D4,'3_标准化'!D5,'3_标准化'!D6),AVERAGE('3_标准化'!D7,'3_标准化'!D8,'3_标准化'!D9,'3_标准化'!D10,'3_标准化'!D11),AVERAGE('3_标准化'!D13,'3_标准化'!D14,'3_标准化'!D15)))</f>
        <v/>
      </c>
      <c r="E12" s="18">
        <f>(AVERAGE(AVERAGE('3_标准化'!E3,'3_标准化'!E4,'3_标准化'!E5,'3_标准化'!E6),AVERAGE('3_标准化'!E7,'3_标准化'!E8,'3_标准化'!E9,'3_标准化'!E10,'3_标准化'!E11),AVERAGE('3_标准化'!E13,'3_标准化'!E14,'3_标准化'!E15))-VAR.P(AVERAGE('3_标准化'!E3,'3_标准化'!E4,'3_标准化'!E5,'3_标准化'!E6),AVERAGE('3_标准化'!E7,'3_标准化'!E8,'3_标准化'!E9,'3_标准化'!E10,'3_标准化'!E11),AVERAGE('3_标准化'!E13,'3_标准化'!E14,'3_标准化'!E15))/AVERAGE(AVERAGE('3_标准化'!E3,'3_标准化'!E4,'3_标准化'!E5,'3_标准化'!E6),AVERAGE('3_标准化'!E7,'3_标准化'!E8,'3_标准化'!E9,'3_标准化'!E10,'3_标准化'!E11),AVERAGE('3_标准化'!E13,'3_标准化'!E14,'3_标准化'!E15)))</f>
        <v/>
      </c>
      <c r="F12" s="18">
        <f>(AVERAGE(AVERAGE('3_标准化'!F3,'3_标准化'!F4,'3_标准化'!F5,'3_标准化'!F6),AVERAGE('3_标准化'!F7,'3_标准化'!F8,'3_标准化'!F9,'3_标准化'!F10,'3_标准化'!F11),AVERAGE('3_标准化'!F13,'3_标准化'!F14,'3_标准化'!F15))-VAR.P(AVERAGE('3_标准化'!F3,'3_标准化'!F4,'3_标准化'!F5,'3_标准化'!F6),AVERAGE('3_标准化'!F7,'3_标准化'!F8,'3_标准化'!F9,'3_标准化'!F10,'3_标准化'!F11),AVERAGE('3_标准化'!F13,'3_标准化'!F14,'3_标准化'!F15))/AVERAGE(AVERAGE('3_标准化'!F3,'3_标准化'!F4,'3_标准化'!F5,'3_标准化'!F6),AVERAGE('3_标准化'!F7,'3_标准化'!F8,'3_标准化'!F9,'3_标准化'!F10,'3_标准化'!F11),AVERAGE('3_标准化'!F13,'3_标准化'!F14,'3_标准化'!F15)))</f>
        <v/>
      </c>
      <c r="G12" s="18">
        <f>(AVERAGE(AVERAGE('3_标准化'!G3,'3_标准化'!G4,'3_标准化'!G5,'3_标准化'!G6),AVERAGE('3_标准化'!G7,'3_标准化'!G8,'3_标准化'!G9,'3_标准化'!G10,'3_标准化'!G11),AVERAGE('3_标准化'!G13,'3_标准化'!G14,'3_标准化'!G15))-VAR.P(AVERAGE('3_标准化'!G3,'3_标准化'!G4,'3_标准化'!G5,'3_标准化'!G6),AVERAGE('3_标准化'!G7,'3_标准化'!G8,'3_标准化'!G9,'3_标准化'!G10,'3_标准化'!G11),AVERAGE('3_标准化'!G13,'3_标准化'!G14,'3_标准化'!G15))/AVERAGE(AVERAGE('3_标准化'!G3,'3_标准化'!G4,'3_标准化'!G5,'3_标准化'!G6),AVERAGE('3_标准化'!G7,'3_标准化'!G8,'3_标准化'!G9,'3_标准化'!G10,'3_标准化'!G11),AVERAGE('3_标准化'!G13,'3_标准化'!G14,'3_标准化'!G15)))</f>
        <v/>
      </c>
      <c r="H12" s="18">
        <f>(AVERAGE(AVERAGE('3_标准化'!H3,'3_标准化'!H4,'3_标准化'!H5,'3_标准化'!H6),AVERAGE('3_标准化'!H7,'3_标准化'!H8,'3_标准化'!H9,'3_标准化'!H10,'3_标准化'!H11),AVERAGE('3_标准化'!H13,'3_标准化'!H14,'3_标准化'!H15))-VAR.P(AVERAGE('3_标准化'!H3,'3_标准化'!H4,'3_标准化'!H5,'3_标准化'!H6),AVERAGE('3_标准化'!H7,'3_标准化'!H8,'3_标准化'!H9,'3_标准化'!H10,'3_标准化'!H11),AVERAGE('3_标准化'!H13,'3_标准化'!H14,'3_标准化'!H15))/AVERAGE(AVERAGE('3_标准化'!H3,'3_标准化'!H4,'3_标准化'!H5,'3_标准化'!H6),AVERAGE('3_标准化'!H7,'3_标准化'!H8,'3_标准化'!H9,'3_标准化'!H10,'3_标准化'!H11),AVERAGE('3_标准化'!H13,'3_标准化'!H14,'3_标准化'!H15)))</f>
        <v/>
      </c>
      <c r="I12" s="18">
        <f>(AVERAGE(AVERAGE('3_标准化'!I3,'3_标准化'!I4,'3_标准化'!I5,'3_标准化'!I6),AVERAGE('3_标准化'!I7,'3_标准化'!I8,'3_标准化'!I9,'3_标准化'!I10,'3_标准化'!I11),AVERAGE('3_标准化'!I13,'3_标准化'!I14,'3_标准化'!I15))-VAR.P(AVERAGE('3_标准化'!I3,'3_标准化'!I4,'3_标准化'!I5,'3_标准化'!I6),AVERAGE('3_标准化'!I7,'3_标准化'!I8,'3_标准化'!I9,'3_标准化'!I10,'3_标准化'!I11),AVERAGE('3_标准化'!I13,'3_标准化'!I14,'3_标准化'!I15))/AVERAGE(AVERAGE('3_标准化'!I3,'3_标准化'!I4,'3_标准化'!I5,'3_标准化'!I6),AVERAGE('3_标准化'!I7,'3_标准化'!I8,'3_标准化'!I9,'3_标准化'!I10,'3_标准化'!I11),AVERAGE('3_标准化'!I13,'3_标准化'!I14,'3_标准化'!I15)))</f>
        <v/>
      </c>
      <c r="J12" s="18">
        <f>(AVERAGE(AVERAGE('3_标准化'!J3,'3_标准化'!J4,'3_标准化'!J5,'3_标准化'!J6),AVERAGE('3_标准化'!J7,'3_标准化'!J8,'3_标准化'!J9,'3_标准化'!J10,'3_标准化'!J11),AVERAGE('3_标准化'!J13,'3_标准化'!J14,'3_标准化'!J15))-VAR.P(AVERAGE('3_标准化'!J3,'3_标准化'!J4,'3_标准化'!J5,'3_标准化'!J6),AVERAGE('3_标准化'!J7,'3_标准化'!J8,'3_标准化'!J9,'3_标准化'!J10,'3_标准化'!J11),AVERAGE('3_标准化'!J13,'3_标准化'!J14,'3_标准化'!J15))/AVERAGE(AVERAGE('3_标准化'!J3,'3_标准化'!J4,'3_标准化'!J5,'3_标准化'!J6),AVERAGE('3_标准化'!J7,'3_标准化'!J8,'3_标准化'!J9,'3_标准化'!J10,'3_标准化'!J11),AVERAGE('3_标准化'!J13,'3_标准化'!J14,'3_标准化'!J15)))</f>
        <v/>
      </c>
      <c r="K12" s="18">
        <f>(AVERAGE(AVERAGE('3_标准化'!K3,'3_标准化'!K4,'3_标准化'!K5,'3_标准化'!K6),AVERAGE('3_标准化'!K7,'3_标准化'!K8,'3_标准化'!K9,'3_标准化'!K10,'3_标准化'!K11),AVERAGE('3_标准化'!K13,'3_标准化'!K14,'3_标准化'!K15))-VAR.P(AVERAGE('3_标准化'!K3,'3_标准化'!K4,'3_标准化'!K5,'3_标准化'!K6),AVERAGE('3_标准化'!K7,'3_标准化'!K8,'3_标准化'!K9,'3_标准化'!K10,'3_标准化'!K11),AVERAGE('3_标准化'!K13,'3_标准化'!K14,'3_标准化'!K15))/AVERAGE(AVERAGE('3_标准化'!K3,'3_标准化'!K4,'3_标准化'!K5,'3_标准化'!K6),AVERAGE('3_标准化'!K7,'3_标准化'!K8,'3_标准化'!K9,'3_标准化'!K10,'3_标准化'!K11),AVERAGE('3_标准化'!K13,'3_标准化'!K14,'3_标准化'!K15)))</f>
        <v/>
      </c>
      <c r="L12" s="18">
        <f>(AVERAGE(AVERAGE('3_标准化'!L3,'3_标准化'!L4,'3_标准化'!L5,'3_标准化'!L6),AVERAGE('3_标准化'!L7,'3_标准化'!L8,'3_标准化'!L9,'3_标准化'!L10,'3_标准化'!L11),AVERAGE('3_标准化'!L13,'3_标准化'!L14,'3_标准化'!L15))-VAR.P(AVERAGE('3_标准化'!L3,'3_标准化'!L4,'3_标准化'!L5,'3_标准化'!L6),AVERAGE('3_标准化'!L7,'3_标准化'!L8,'3_标准化'!L9,'3_标准化'!L10,'3_标准化'!L11),AVERAGE('3_标准化'!L13,'3_标准化'!L14,'3_标准化'!L15))/AVERAGE(AVERAGE('3_标准化'!L3,'3_标准化'!L4,'3_标准化'!L5,'3_标准化'!L6),AVERAGE('3_标准化'!L7,'3_标准化'!L8,'3_标准化'!L9,'3_标准化'!L10,'3_标准化'!L11),AVERAGE('3_标准化'!L13,'3_标准化'!L14,'3_标准化'!L15)))</f>
        <v/>
      </c>
      <c r="M12" s="5">
        <f>IF(AVERAGE('3_标准化'!C7,'3_标准化'!C8,'3_标准化'!C9,'3_标准化'!C10,'3_标准化'!C11)=MIN(AVERAGE('3_标准化'!C3,'3_标准化'!C4,'3_标准化'!C5,'3_标准化'!C6),AVERAGE('3_标准化'!C7,'3_标准化'!C8,'3_标准化'!C9,'3_标准化'!C10,'3_标准化'!C11),AVERAGE('3_标准化'!C13,'3_标准化'!C14,'3_标准化'!C15)),1,0)+IF(AVERAGE('3_标准化'!D7,'3_标准化'!D8,'3_标准化'!D9,'3_标准化'!D10,'3_标准化'!D11)=MIN(AVERAGE('3_标准化'!D3,'3_标准化'!D4,'3_标准化'!D5,'3_标准化'!D6),AVERAGE('3_标准化'!D7,'3_标准化'!D8,'3_标准化'!D9,'3_标准化'!D10,'3_标准化'!D11),AVERAGE('3_标准化'!D13,'3_标准化'!D14,'3_标准化'!D15)),1,0)+IF(AVERAGE('3_标准化'!E7,'3_标准化'!E8,'3_标准化'!E9,'3_标准化'!E10,'3_标准化'!E11)=MIN(AVERAGE('3_标准化'!E3,'3_标准化'!E4,'3_标准化'!E5,'3_标准化'!E6),AVERAGE('3_标准化'!E7,'3_标准化'!E8,'3_标准化'!E9,'3_标准化'!E10,'3_标准化'!E11),AVERAGE('3_标准化'!E13,'3_标准化'!E14,'3_标准化'!E15)),1,0)+IF(AVERAGE('3_标准化'!F7,'3_标准化'!F8,'3_标准化'!F9,'3_标准化'!F10,'3_标准化'!F11)=MIN(AVERAGE('3_标准化'!F3,'3_标准化'!F4,'3_标准化'!F5,'3_标准化'!F6),AVERAGE('3_标准化'!F7,'3_标准化'!F8,'3_标准化'!F9,'3_标准化'!F10,'3_标准化'!F11),AVERAGE('3_标准化'!F13,'3_标准化'!F14,'3_标准化'!F15)),1,0)+IF(AVERAGE('3_标准化'!G7,'3_标准化'!G8,'3_标准化'!G9,'3_标准化'!G10,'3_标准化'!G11)=MIN(AVERAGE('3_标准化'!G3,'3_标准化'!G4,'3_标准化'!G5,'3_标准化'!G6),AVERAGE('3_标准化'!G7,'3_标准化'!G8,'3_标准化'!G9,'3_标准化'!G10,'3_标准化'!G11),AVERAGE('3_标准化'!G13,'3_标准化'!G14,'3_标准化'!G15)),1,0)+IF(AVERAGE('3_标准化'!H7,'3_标准化'!H8,'3_标准化'!H9,'3_标准化'!H10,'3_标准化'!H11)=MIN(AVERAGE('3_标准化'!H3,'3_标准化'!H4,'3_标准化'!H5,'3_标准化'!H6),AVERAGE('3_标准化'!H7,'3_标准化'!H8,'3_标准化'!H9,'3_标准化'!H10,'3_标准化'!H11),AVERAGE('3_标准化'!H13,'3_标准化'!H14,'3_标准化'!H15)),1,0)+IF(AVERAGE('3_标准化'!I7,'3_标准化'!I8,'3_标准化'!I9,'3_标准化'!I10,'3_标准化'!I11)=MIN(AVERAGE('3_标准化'!I3,'3_标准化'!I4,'3_标准化'!I5,'3_标准化'!I6),AVERAGE('3_标准化'!I7,'3_标准化'!I8,'3_标准化'!I9,'3_标准化'!I10,'3_标准化'!I11),AVERAGE('3_标准化'!I13,'3_标准化'!I14,'3_标准化'!I15)),1,0)+IF(AVERAGE('3_标准化'!J7,'3_标准化'!J8,'3_标准化'!J9,'3_标准化'!J10,'3_标准化'!J11)=MIN(AVERAGE('3_标准化'!J3,'3_标准化'!J4,'3_标准化'!J5,'3_标准化'!J6),AVERAGE('3_标准化'!J7,'3_标准化'!J8,'3_标准化'!J9,'3_标准化'!J10,'3_标准化'!J11),AVERAGE('3_标准化'!J13,'3_标准化'!J14,'3_标准化'!J15)),1,0)+IF(AVERAGE('3_标准化'!K7,'3_标准化'!K8,'3_标准化'!K9,'3_标准化'!K10,'3_标准化'!K11)=MIN(AVERAGE('3_标准化'!K3,'3_标准化'!K4,'3_标准化'!K5,'3_标准化'!K6),AVERAGE('3_标准化'!K7,'3_标准化'!K8,'3_标准化'!K9,'3_标准化'!K10,'3_标准化'!K11),AVERAGE('3_标准化'!K13,'3_标准化'!K14,'3_标准化'!K15)),1,0)+IF(AVERAGE('3_标准化'!L7,'3_标准化'!L8,'3_标准化'!L9,'3_标准化'!L10,'3_标准化'!L11)=MIN(AVERAGE('3_标准化'!L3,'3_标准化'!L4,'3_标准化'!L5,'3_标准化'!L6),AVERAGE('3_标准化'!L7,'3_标准化'!L8,'3_标准化'!L9,'3_标准化'!L10,'3_标准化'!L11),AVERAGE('3_标准化'!L13,'3_标准化'!L14,'3_标准化'!L15)),1,0)</f>
        <v/>
      </c>
      <c r="N12" s="18">
        <f>C12</f>
        <v/>
      </c>
      <c r="O12" s="20">
        <f>L12</f>
        <v/>
      </c>
    </row>
    <row r="13">
      <c r="A13" s="5" t="inlineStr">
        <is>
          <t>E2 森林覆盖率</t>
        </is>
      </c>
      <c r="B13" s="5" t="inlineStr">
        <is>
          <t>生态 E</t>
        </is>
      </c>
      <c r="C13" s="18">
        <f>(AVERAGE(AVERAGE('3_标准化'!C3,'3_标准化'!C4,'3_标准化'!C5,'3_标准化'!C6),AVERAGE('3_标准化'!C7,'3_标准化'!C8,'3_标准化'!C9,'3_标准化'!C10,'3_标准化'!C11),AVERAGE('3_标准化'!C12,'3_标准化'!C14,'3_标准化'!C15))-VAR.P(AVERAGE('3_标准化'!C3,'3_标准化'!C4,'3_标准化'!C5,'3_标准化'!C6),AVERAGE('3_标准化'!C7,'3_标准化'!C8,'3_标准化'!C9,'3_标准化'!C10,'3_标准化'!C11),AVERAGE('3_标准化'!C12,'3_标准化'!C14,'3_标准化'!C15))/AVERAGE(AVERAGE('3_标准化'!C3,'3_标准化'!C4,'3_标准化'!C5,'3_标准化'!C6),AVERAGE('3_标准化'!C7,'3_标准化'!C8,'3_标准化'!C9,'3_标准化'!C10,'3_标准化'!C11),AVERAGE('3_标准化'!C12,'3_标准化'!C14,'3_标准化'!C15)))</f>
        <v/>
      </c>
      <c r="D13" s="18">
        <f>(AVERAGE(AVERAGE('3_标准化'!D3,'3_标准化'!D4,'3_标准化'!D5,'3_标准化'!D6),AVERAGE('3_标准化'!D7,'3_标准化'!D8,'3_标准化'!D9,'3_标准化'!D10,'3_标准化'!D11),AVERAGE('3_标准化'!D12,'3_标准化'!D14,'3_标准化'!D15))-VAR.P(AVERAGE('3_标准化'!D3,'3_标准化'!D4,'3_标准化'!D5,'3_标准化'!D6),AVERAGE('3_标准化'!D7,'3_标准化'!D8,'3_标准化'!D9,'3_标准化'!D10,'3_标准化'!D11),AVERAGE('3_标准化'!D12,'3_标准化'!D14,'3_标准化'!D15))/AVERAGE(AVERAGE('3_标准化'!D3,'3_标准化'!D4,'3_标准化'!D5,'3_标准化'!D6),AVERAGE('3_标准化'!D7,'3_标准化'!D8,'3_标准化'!D9,'3_标准化'!D10,'3_标准化'!D11),AVERAGE('3_标准化'!D12,'3_标准化'!D14,'3_标准化'!D15)))</f>
        <v/>
      </c>
      <c r="E13" s="18">
        <f>(AVERAGE(AVERAGE('3_标准化'!E3,'3_标准化'!E4,'3_标准化'!E5,'3_标准化'!E6),AVERAGE('3_标准化'!E7,'3_标准化'!E8,'3_标准化'!E9,'3_标准化'!E10,'3_标准化'!E11),AVERAGE('3_标准化'!E12,'3_标准化'!E14,'3_标准化'!E15))-VAR.P(AVERAGE('3_标准化'!E3,'3_标准化'!E4,'3_标准化'!E5,'3_标准化'!E6),AVERAGE('3_标准化'!E7,'3_标准化'!E8,'3_标准化'!E9,'3_标准化'!E10,'3_标准化'!E11),AVERAGE('3_标准化'!E12,'3_标准化'!E14,'3_标准化'!E15))/AVERAGE(AVERAGE('3_标准化'!E3,'3_标准化'!E4,'3_标准化'!E5,'3_标准化'!E6),AVERAGE('3_标准化'!E7,'3_标准化'!E8,'3_标准化'!E9,'3_标准化'!E10,'3_标准化'!E11),AVERAGE('3_标准化'!E12,'3_标准化'!E14,'3_标准化'!E15)))</f>
        <v/>
      </c>
      <c r="F13" s="18">
        <f>(AVERAGE(AVERAGE('3_标准化'!F3,'3_标准化'!F4,'3_标准化'!F5,'3_标准化'!F6),AVERAGE('3_标准化'!F7,'3_标准化'!F8,'3_标准化'!F9,'3_标准化'!F10,'3_标准化'!F11),AVERAGE('3_标准化'!F12,'3_标准化'!F14,'3_标准化'!F15))-VAR.P(AVERAGE('3_标准化'!F3,'3_标准化'!F4,'3_标准化'!F5,'3_标准化'!F6),AVERAGE('3_标准化'!F7,'3_标准化'!F8,'3_标准化'!F9,'3_标准化'!F10,'3_标准化'!F11),AVERAGE('3_标准化'!F12,'3_标准化'!F14,'3_标准化'!F15))/AVERAGE(AVERAGE('3_标准化'!F3,'3_标准化'!F4,'3_标准化'!F5,'3_标准化'!F6),AVERAGE('3_标准化'!F7,'3_标准化'!F8,'3_标准化'!F9,'3_标准化'!F10,'3_标准化'!F11),AVERAGE('3_标准化'!F12,'3_标准化'!F14,'3_标准化'!F15)))</f>
        <v/>
      </c>
      <c r="G13" s="18">
        <f>(AVERAGE(AVERAGE('3_标准化'!G3,'3_标准化'!G4,'3_标准化'!G5,'3_标准化'!G6),AVERAGE('3_标准化'!G7,'3_标准化'!G8,'3_标准化'!G9,'3_标准化'!G10,'3_标准化'!G11),AVERAGE('3_标准化'!G12,'3_标准化'!G14,'3_标准化'!G15))-VAR.P(AVERAGE('3_标准化'!G3,'3_标准化'!G4,'3_标准化'!G5,'3_标准化'!G6),AVERAGE('3_标准化'!G7,'3_标准化'!G8,'3_标准化'!G9,'3_标准化'!G10,'3_标准化'!G11),AVERAGE('3_标准化'!G12,'3_标准化'!G14,'3_标准化'!G15))/AVERAGE(AVERAGE('3_标准化'!G3,'3_标准化'!G4,'3_标准化'!G5,'3_标准化'!G6),AVERAGE('3_标准化'!G7,'3_标准化'!G8,'3_标准化'!G9,'3_标准化'!G10,'3_标准化'!G11),AVERAGE('3_标准化'!G12,'3_标准化'!G14,'3_标准化'!G15)))</f>
        <v/>
      </c>
      <c r="H13" s="18">
        <f>(AVERAGE(AVERAGE('3_标准化'!H3,'3_标准化'!H4,'3_标准化'!H5,'3_标准化'!H6),AVERAGE('3_标准化'!H7,'3_标准化'!H8,'3_标准化'!H9,'3_标准化'!H10,'3_标准化'!H11),AVERAGE('3_标准化'!H12,'3_标准化'!H14,'3_标准化'!H15))-VAR.P(AVERAGE('3_标准化'!H3,'3_标准化'!H4,'3_标准化'!H5,'3_标准化'!H6),AVERAGE('3_标准化'!H7,'3_标准化'!H8,'3_标准化'!H9,'3_标准化'!H10,'3_标准化'!H11),AVERAGE('3_标准化'!H12,'3_标准化'!H14,'3_标准化'!H15))/AVERAGE(AVERAGE('3_标准化'!H3,'3_标准化'!H4,'3_标准化'!H5,'3_标准化'!H6),AVERAGE('3_标准化'!H7,'3_标准化'!H8,'3_标准化'!H9,'3_标准化'!H10,'3_标准化'!H11),AVERAGE('3_标准化'!H12,'3_标准化'!H14,'3_标准化'!H15)))</f>
        <v/>
      </c>
      <c r="I13" s="18">
        <f>(AVERAGE(AVERAGE('3_标准化'!I3,'3_标准化'!I4,'3_标准化'!I5,'3_标准化'!I6),AVERAGE('3_标准化'!I7,'3_标准化'!I8,'3_标准化'!I9,'3_标准化'!I10,'3_标准化'!I11),AVERAGE('3_标准化'!I12,'3_标准化'!I14,'3_标准化'!I15))-VAR.P(AVERAGE('3_标准化'!I3,'3_标准化'!I4,'3_标准化'!I5,'3_标准化'!I6),AVERAGE('3_标准化'!I7,'3_标准化'!I8,'3_标准化'!I9,'3_标准化'!I10,'3_标准化'!I11),AVERAGE('3_标准化'!I12,'3_标准化'!I14,'3_标准化'!I15))/AVERAGE(AVERAGE('3_标准化'!I3,'3_标准化'!I4,'3_标准化'!I5,'3_标准化'!I6),AVERAGE('3_标准化'!I7,'3_标准化'!I8,'3_标准化'!I9,'3_标准化'!I10,'3_标准化'!I11),AVERAGE('3_标准化'!I12,'3_标准化'!I14,'3_标准化'!I15)))</f>
        <v/>
      </c>
      <c r="J13" s="18">
        <f>(AVERAGE(AVERAGE('3_标准化'!J3,'3_标准化'!J4,'3_标准化'!J5,'3_标准化'!J6),AVERAGE('3_标准化'!J7,'3_标准化'!J8,'3_标准化'!J9,'3_标准化'!J10,'3_标准化'!J11),AVERAGE('3_标准化'!J12,'3_标准化'!J14,'3_标准化'!J15))-VAR.P(AVERAGE('3_标准化'!J3,'3_标准化'!J4,'3_标准化'!J5,'3_标准化'!J6),AVERAGE('3_标准化'!J7,'3_标准化'!J8,'3_标准化'!J9,'3_标准化'!J10,'3_标准化'!J11),AVERAGE('3_标准化'!J12,'3_标准化'!J14,'3_标准化'!J15))/AVERAGE(AVERAGE('3_标准化'!J3,'3_标准化'!J4,'3_标准化'!J5,'3_标准化'!J6),AVERAGE('3_标准化'!J7,'3_标准化'!J8,'3_标准化'!J9,'3_标准化'!J10,'3_标准化'!J11),AVERAGE('3_标准化'!J12,'3_标准化'!J14,'3_标准化'!J15)))</f>
        <v/>
      </c>
      <c r="K13" s="18">
        <f>(AVERAGE(AVERAGE('3_标准化'!K3,'3_标准化'!K4,'3_标准化'!K5,'3_标准化'!K6),AVERAGE('3_标准化'!K7,'3_标准化'!K8,'3_标准化'!K9,'3_标准化'!K10,'3_标准化'!K11),AVERAGE('3_标准化'!K12,'3_标准化'!K14,'3_标准化'!K15))-VAR.P(AVERAGE('3_标准化'!K3,'3_标准化'!K4,'3_标准化'!K5,'3_标准化'!K6),AVERAGE('3_标准化'!K7,'3_标准化'!K8,'3_标准化'!K9,'3_标准化'!K10,'3_标准化'!K11),AVERAGE('3_标准化'!K12,'3_标准化'!K14,'3_标准化'!K15))/AVERAGE(AVERAGE('3_标准化'!K3,'3_标准化'!K4,'3_标准化'!K5,'3_标准化'!K6),AVERAGE('3_标准化'!K7,'3_标准化'!K8,'3_标准化'!K9,'3_标准化'!K10,'3_标准化'!K11),AVERAGE('3_标准化'!K12,'3_标准化'!K14,'3_标准化'!K15)))</f>
        <v/>
      </c>
      <c r="L13" s="18">
        <f>(AVERAGE(AVERAGE('3_标准化'!L3,'3_标准化'!L4,'3_标准化'!L5,'3_标准化'!L6),AVERAGE('3_标准化'!L7,'3_标准化'!L8,'3_标准化'!L9,'3_标准化'!L10,'3_标准化'!L11),AVERAGE('3_标准化'!L12,'3_标准化'!L14,'3_标准化'!L15))-VAR.P(AVERAGE('3_标准化'!L3,'3_标准化'!L4,'3_标准化'!L5,'3_标准化'!L6),AVERAGE('3_标准化'!L7,'3_标准化'!L8,'3_标准化'!L9,'3_标准化'!L10,'3_标准化'!L11),AVERAGE('3_标准化'!L12,'3_标准化'!L14,'3_标准化'!L15))/AVERAGE(AVERAGE('3_标准化'!L3,'3_标准化'!L4,'3_标准化'!L5,'3_标准化'!L6),AVERAGE('3_标准化'!L7,'3_标准化'!L8,'3_标准化'!L9,'3_标准化'!L10,'3_标准化'!L11),AVERAGE('3_标准化'!L12,'3_标准化'!L14,'3_标准化'!L15)))</f>
        <v/>
      </c>
      <c r="M13" s="5">
        <f>IF(AVERAGE('3_标准化'!C7,'3_标准化'!C8,'3_标准化'!C9,'3_标准化'!C10,'3_标准化'!C11)=MIN(AVERAGE('3_标准化'!C3,'3_标准化'!C4,'3_标准化'!C5,'3_标准化'!C6),AVERAGE('3_标准化'!C7,'3_标准化'!C8,'3_标准化'!C9,'3_标准化'!C10,'3_标准化'!C11),AVERAGE('3_标准化'!C12,'3_标准化'!C14,'3_标准化'!C15)),1,0)+IF(AVERAGE('3_标准化'!D7,'3_标准化'!D8,'3_标准化'!D9,'3_标准化'!D10,'3_标准化'!D11)=MIN(AVERAGE('3_标准化'!D3,'3_标准化'!D4,'3_标准化'!D5,'3_标准化'!D6),AVERAGE('3_标准化'!D7,'3_标准化'!D8,'3_标准化'!D9,'3_标准化'!D10,'3_标准化'!D11),AVERAGE('3_标准化'!D12,'3_标准化'!D14,'3_标准化'!D15)),1,0)+IF(AVERAGE('3_标准化'!E7,'3_标准化'!E8,'3_标准化'!E9,'3_标准化'!E10,'3_标准化'!E11)=MIN(AVERAGE('3_标准化'!E3,'3_标准化'!E4,'3_标准化'!E5,'3_标准化'!E6),AVERAGE('3_标准化'!E7,'3_标准化'!E8,'3_标准化'!E9,'3_标准化'!E10,'3_标准化'!E11),AVERAGE('3_标准化'!E12,'3_标准化'!E14,'3_标准化'!E15)),1,0)+IF(AVERAGE('3_标准化'!F7,'3_标准化'!F8,'3_标准化'!F9,'3_标准化'!F10,'3_标准化'!F11)=MIN(AVERAGE('3_标准化'!F3,'3_标准化'!F4,'3_标准化'!F5,'3_标准化'!F6),AVERAGE('3_标准化'!F7,'3_标准化'!F8,'3_标准化'!F9,'3_标准化'!F10,'3_标准化'!F11),AVERAGE('3_标准化'!F12,'3_标准化'!F14,'3_标准化'!F15)),1,0)+IF(AVERAGE('3_标准化'!G7,'3_标准化'!G8,'3_标准化'!G9,'3_标准化'!G10,'3_标准化'!G11)=MIN(AVERAGE('3_标准化'!G3,'3_标准化'!G4,'3_标准化'!G5,'3_标准化'!G6),AVERAGE('3_标准化'!G7,'3_标准化'!G8,'3_标准化'!G9,'3_标准化'!G10,'3_标准化'!G11),AVERAGE('3_标准化'!G12,'3_标准化'!G14,'3_标准化'!G15)),1,0)+IF(AVERAGE('3_标准化'!H7,'3_标准化'!H8,'3_标准化'!H9,'3_标准化'!H10,'3_标准化'!H11)=MIN(AVERAGE('3_标准化'!H3,'3_标准化'!H4,'3_标准化'!H5,'3_标准化'!H6),AVERAGE('3_标准化'!H7,'3_标准化'!H8,'3_标准化'!H9,'3_标准化'!H10,'3_标准化'!H11),AVERAGE('3_标准化'!H12,'3_标准化'!H14,'3_标准化'!H15)),1,0)+IF(AVERAGE('3_标准化'!I7,'3_标准化'!I8,'3_标准化'!I9,'3_标准化'!I10,'3_标准化'!I11)=MIN(AVERAGE('3_标准化'!I3,'3_标准化'!I4,'3_标准化'!I5,'3_标准化'!I6),AVERAGE('3_标准化'!I7,'3_标准化'!I8,'3_标准化'!I9,'3_标准化'!I10,'3_标准化'!I11),AVERAGE('3_标准化'!I12,'3_标准化'!I14,'3_标准化'!I15)),1,0)+IF(AVERAGE('3_标准化'!J7,'3_标准化'!J8,'3_标准化'!J9,'3_标准化'!J10,'3_标准化'!J11)=MIN(AVERAGE('3_标准化'!J3,'3_标准化'!J4,'3_标准化'!J5,'3_标准化'!J6),AVERAGE('3_标准化'!J7,'3_标准化'!J8,'3_标准化'!J9,'3_标准化'!J10,'3_标准化'!J11),AVERAGE('3_标准化'!J12,'3_标准化'!J14,'3_标准化'!J15)),1,0)+IF(AVERAGE('3_标准化'!K7,'3_标准化'!K8,'3_标准化'!K9,'3_标准化'!K10,'3_标准化'!K11)=MIN(AVERAGE('3_标准化'!K3,'3_标准化'!K4,'3_标准化'!K5,'3_标准化'!K6),AVERAGE('3_标准化'!K7,'3_标准化'!K8,'3_标准化'!K9,'3_标准化'!K10,'3_标准化'!K11),AVERAGE('3_标准化'!K12,'3_标准化'!K14,'3_标准化'!K15)),1,0)+IF(AVERAGE('3_标准化'!L7,'3_标准化'!L8,'3_标准化'!L9,'3_标准化'!L10,'3_标准化'!L11)=MIN(AVERAGE('3_标准化'!L3,'3_标准化'!L4,'3_标准化'!L5,'3_标准化'!L6),AVERAGE('3_标准化'!L7,'3_标准化'!L8,'3_标准化'!L9,'3_标准化'!L10,'3_标准化'!L11),AVERAGE('3_标准化'!L12,'3_标准化'!L14,'3_标准化'!L15)),1,0)</f>
        <v/>
      </c>
      <c r="N13" s="18">
        <f>C13</f>
        <v/>
      </c>
      <c r="O13" s="20">
        <f>L13</f>
        <v/>
      </c>
    </row>
    <row r="14">
      <c r="A14" s="5" t="inlineStr">
        <is>
          <t>E3 空气质量优良天数比例</t>
        </is>
      </c>
      <c r="B14" s="5" t="inlineStr">
        <is>
          <t>生态 E</t>
        </is>
      </c>
      <c r="C14" s="18">
        <f>(AVERAGE(AVERAGE('3_标准化'!C3,'3_标准化'!C4,'3_标准化'!C5,'3_标准化'!C6),AVERAGE('3_标准化'!C7,'3_标准化'!C8,'3_标准化'!C9,'3_标准化'!C10,'3_标准化'!C11),AVERAGE('3_标准化'!C12,'3_标准化'!C13,'3_标准化'!C15))-VAR.P(AVERAGE('3_标准化'!C3,'3_标准化'!C4,'3_标准化'!C5,'3_标准化'!C6),AVERAGE('3_标准化'!C7,'3_标准化'!C8,'3_标准化'!C9,'3_标准化'!C10,'3_标准化'!C11),AVERAGE('3_标准化'!C12,'3_标准化'!C13,'3_标准化'!C15))/AVERAGE(AVERAGE('3_标准化'!C3,'3_标准化'!C4,'3_标准化'!C5,'3_标准化'!C6),AVERAGE('3_标准化'!C7,'3_标准化'!C8,'3_标准化'!C9,'3_标准化'!C10,'3_标准化'!C11),AVERAGE('3_标准化'!C12,'3_标准化'!C13,'3_标准化'!C15)))</f>
        <v/>
      </c>
      <c r="D14" s="18">
        <f>(AVERAGE(AVERAGE('3_标准化'!D3,'3_标准化'!D4,'3_标准化'!D5,'3_标准化'!D6),AVERAGE('3_标准化'!D7,'3_标准化'!D8,'3_标准化'!D9,'3_标准化'!D10,'3_标准化'!D11),AVERAGE('3_标准化'!D12,'3_标准化'!D13,'3_标准化'!D15))-VAR.P(AVERAGE('3_标准化'!D3,'3_标准化'!D4,'3_标准化'!D5,'3_标准化'!D6),AVERAGE('3_标准化'!D7,'3_标准化'!D8,'3_标准化'!D9,'3_标准化'!D10,'3_标准化'!D11),AVERAGE('3_标准化'!D12,'3_标准化'!D13,'3_标准化'!D15))/AVERAGE(AVERAGE('3_标准化'!D3,'3_标准化'!D4,'3_标准化'!D5,'3_标准化'!D6),AVERAGE('3_标准化'!D7,'3_标准化'!D8,'3_标准化'!D9,'3_标准化'!D10,'3_标准化'!D11),AVERAGE('3_标准化'!D12,'3_标准化'!D13,'3_标准化'!D15)))</f>
        <v/>
      </c>
      <c r="E14" s="18">
        <f>(AVERAGE(AVERAGE('3_标准化'!E3,'3_标准化'!E4,'3_标准化'!E5,'3_标准化'!E6),AVERAGE('3_标准化'!E7,'3_标准化'!E8,'3_标准化'!E9,'3_标准化'!E10,'3_标准化'!E11),AVERAGE('3_标准化'!E12,'3_标准化'!E13,'3_标准化'!E15))-VAR.P(AVERAGE('3_标准化'!E3,'3_标准化'!E4,'3_标准化'!E5,'3_标准化'!E6),AVERAGE('3_标准化'!E7,'3_标准化'!E8,'3_标准化'!E9,'3_标准化'!E10,'3_标准化'!E11),AVERAGE('3_标准化'!E12,'3_标准化'!E13,'3_标准化'!E15))/AVERAGE(AVERAGE('3_标准化'!E3,'3_标准化'!E4,'3_标准化'!E5,'3_标准化'!E6),AVERAGE('3_标准化'!E7,'3_标准化'!E8,'3_标准化'!E9,'3_标准化'!E10,'3_标准化'!E11),AVERAGE('3_标准化'!E12,'3_标准化'!E13,'3_标准化'!E15)))</f>
        <v/>
      </c>
      <c r="F14" s="18">
        <f>(AVERAGE(AVERAGE('3_标准化'!F3,'3_标准化'!F4,'3_标准化'!F5,'3_标准化'!F6),AVERAGE('3_标准化'!F7,'3_标准化'!F8,'3_标准化'!F9,'3_标准化'!F10,'3_标准化'!F11),AVERAGE('3_标准化'!F12,'3_标准化'!F13,'3_标准化'!F15))-VAR.P(AVERAGE('3_标准化'!F3,'3_标准化'!F4,'3_标准化'!F5,'3_标准化'!F6),AVERAGE('3_标准化'!F7,'3_标准化'!F8,'3_标准化'!F9,'3_标准化'!F10,'3_标准化'!F11),AVERAGE('3_标准化'!F12,'3_标准化'!F13,'3_标准化'!F15))/AVERAGE(AVERAGE('3_标准化'!F3,'3_标准化'!F4,'3_标准化'!F5,'3_标准化'!F6),AVERAGE('3_标准化'!F7,'3_标准化'!F8,'3_标准化'!F9,'3_标准化'!F10,'3_标准化'!F11),AVERAGE('3_标准化'!F12,'3_标准化'!F13,'3_标准化'!F15)))</f>
        <v/>
      </c>
      <c r="G14" s="18">
        <f>(AVERAGE(AVERAGE('3_标准化'!G3,'3_标准化'!G4,'3_标准化'!G5,'3_标准化'!G6),AVERAGE('3_标准化'!G7,'3_标准化'!G8,'3_标准化'!G9,'3_标准化'!G10,'3_标准化'!G11),AVERAGE('3_标准化'!G12,'3_标准化'!G13,'3_标准化'!G15))-VAR.P(AVERAGE('3_标准化'!G3,'3_标准化'!G4,'3_标准化'!G5,'3_标准化'!G6),AVERAGE('3_标准化'!G7,'3_标准化'!G8,'3_标准化'!G9,'3_标准化'!G10,'3_标准化'!G11),AVERAGE('3_标准化'!G12,'3_标准化'!G13,'3_标准化'!G15))/AVERAGE(AVERAGE('3_标准化'!G3,'3_标准化'!G4,'3_标准化'!G5,'3_标准化'!G6),AVERAGE('3_标准化'!G7,'3_标准化'!G8,'3_标准化'!G9,'3_标准化'!G10,'3_标准化'!G11),AVERAGE('3_标准化'!G12,'3_标准化'!G13,'3_标准化'!G15)))</f>
        <v/>
      </c>
      <c r="H14" s="18">
        <f>(AVERAGE(AVERAGE('3_标准化'!H3,'3_标准化'!H4,'3_标准化'!H5,'3_标准化'!H6),AVERAGE('3_标准化'!H7,'3_标准化'!H8,'3_标准化'!H9,'3_标准化'!H10,'3_标准化'!H11),AVERAGE('3_标准化'!H12,'3_标准化'!H13,'3_标准化'!H15))-VAR.P(AVERAGE('3_标准化'!H3,'3_标准化'!H4,'3_标准化'!H5,'3_标准化'!H6),AVERAGE('3_标准化'!H7,'3_标准化'!H8,'3_标准化'!H9,'3_标准化'!H10,'3_标准化'!H11),AVERAGE('3_标准化'!H12,'3_标准化'!H13,'3_标准化'!H15))/AVERAGE(AVERAGE('3_标准化'!H3,'3_标准化'!H4,'3_标准化'!H5,'3_标准化'!H6),AVERAGE('3_标准化'!H7,'3_标准化'!H8,'3_标准化'!H9,'3_标准化'!H10,'3_标准化'!H11),AVERAGE('3_标准化'!H12,'3_标准化'!H13,'3_标准化'!H15)))</f>
        <v/>
      </c>
      <c r="I14" s="18">
        <f>(AVERAGE(AVERAGE('3_标准化'!I3,'3_标准化'!I4,'3_标准化'!I5,'3_标准化'!I6),AVERAGE('3_标准化'!I7,'3_标准化'!I8,'3_标准化'!I9,'3_标准化'!I10,'3_标准化'!I11),AVERAGE('3_标准化'!I12,'3_标准化'!I13,'3_标准化'!I15))-VAR.P(AVERAGE('3_标准化'!I3,'3_标准化'!I4,'3_标准化'!I5,'3_标准化'!I6),AVERAGE('3_标准化'!I7,'3_标准化'!I8,'3_标准化'!I9,'3_标准化'!I10,'3_标准化'!I11),AVERAGE('3_标准化'!I12,'3_标准化'!I13,'3_标准化'!I15))/AVERAGE(AVERAGE('3_标准化'!I3,'3_标准化'!I4,'3_标准化'!I5,'3_标准化'!I6),AVERAGE('3_标准化'!I7,'3_标准化'!I8,'3_标准化'!I9,'3_标准化'!I10,'3_标准化'!I11),AVERAGE('3_标准化'!I12,'3_标准化'!I13,'3_标准化'!I15)))</f>
        <v/>
      </c>
      <c r="J14" s="18">
        <f>(AVERAGE(AVERAGE('3_标准化'!J3,'3_标准化'!J4,'3_标准化'!J5,'3_标准化'!J6),AVERAGE('3_标准化'!J7,'3_标准化'!J8,'3_标准化'!J9,'3_标准化'!J10,'3_标准化'!J11),AVERAGE('3_标准化'!J12,'3_标准化'!J13,'3_标准化'!J15))-VAR.P(AVERAGE('3_标准化'!J3,'3_标准化'!J4,'3_标准化'!J5,'3_标准化'!J6),AVERAGE('3_标准化'!J7,'3_标准化'!J8,'3_标准化'!J9,'3_标准化'!J10,'3_标准化'!J11),AVERAGE('3_标准化'!J12,'3_标准化'!J13,'3_标准化'!J15))/AVERAGE(AVERAGE('3_标准化'!J3,'3_标准化'!J4,'3_标准化'!J5,'3_标准化'!J6),AVERAGE('3_标准化'!J7,'3_标准化'!J8,'3_标准化'!J9,'3_标准化'!J10,'3_标准化'!J11),AVERAGE('3_标准化'!J12,'3_标准化'!J13,'3_标准化'!J15)))</f>
        <v/>
      </c>
      <c r="K14" s="18">
        <f>(AVERAGE(AVERAGE('3_标准化'!K3,'3_标准化'!K4,'3_标准化'!K5,'3_标准化'!K6),AVERAGE('3_标准化'!K7,'3_标准化'!K8,'3_标准化'!K9,'3_标准化'!K10,'3_标准化'!K11),AVERAGE('3_标准化'!K12,'3_标准化'!K13,'3_标准化'!K15))-VAR.P(AVERAGE('3_标准化'!K3,'3_标准化'!K4,'3_标准化'!K5,'3_标准化'!K6),AVERAGE('3_标准化'!K7,'3_标准化'!K8,'3_标准化'!K9,'3_标准化'!K10,'3_标准化'!K11),AVERAGE('3_标准化'!K12,'3_标准化'!K13,'3_标准化'!K15))/AVERAGE(AVERAGE('3_标准化'!K3,'3_标准化'!K4,'3_标准化'!K5,'3_标准化'!K6),AVERAGE('3_标准化'!K7,'3_标准化'!K8,'3_标准化'!K9,'3_标准化'!K10,'3_标准化'!K11),AVERAGE('3_标准化'!K12,'3_标准化'!K13,'3_标准化'!K15)))</f>
        <v/>
      </c>
      <c r="L14" s="18">
        <f>(AVERAGE(AVERAGE('3_标准化'!L3,'3_标准化'!L4,'3_标准化'!L5,'3_标准化'!L6),AVERAGE('3_标准化'!L7,'3_标准化'!L8,'3_标准化'!L9,'3_标准化'!L10,'3_标准化'!L11),AVERAGE('3_标准化'!L12,'3_标准化'!L13,'3_标准化'!L15))-VAR.P(AVERAGE('3_标准化'!L3,'3_标准化'!L4,'3_标准化'!L5,'3_标准化'!L6),AVERAGE('3_标准化'!L7,'3_标准化'!L8,'3_标准化'!L9,'3_标准化'!L10,'3_标准化'!L11),AVERAGE('3_标准化'!L12,'3_标准化'!L13,'3_标准化'!L15))/AVERAGE(AVERAGE('3_标准化'!L3,'3_标准化'!L4,'3_标准化'!L5,'3_标准化'!L6),AVERAGE('3_标准化'!L7,'3_标准化'!L8,'3_标准化'!L9,'3_标准化'!L10,'3_标准化'!L11),AVERAGE('3_标准化'!L12,'3_标准化'!L13,'3_标准化'!L15)))</f>
        <v/>
      </c>
      <c r="M14" s="5">
        <f>IF(AVERAGE('3_标准化'!C7,'3_标准化'!C8,'3_标准化'!C9,'3_标准化'!C10,'3_标准化'!C11)=MIN(AVERAGE('3_标准化'!C3,'3_标准化'!C4,'3_标准化'!C5,'3_标准化'!C6),AVERAGE('3_标准化'!C7,'3_标准化'!C8,'3_标准化'!C9,'3_标准化'!C10,'3_标准化'!C11),AVERAGE('3_标准化'!C12,'3_标准化'!C13,'3_标准化'!C15)),1,0)+IF(AVERAGE('3_标准化'!D7,'3_标准化'!D8,'3_标准化'!D9,'3_标准化'!D10,'3_标准化'!D11)=MIN(AVERAGE('3_标准化'!D3,'3_标准化'!D4,'3_标准化'!D5,'3_标准化'!D6),AVERAGE('3_标准化'!D7,'3_标准化'!D8,'3_标准化'!D9,'3_标准化'!D10,'3_标准化'!D11),AVERAGE('3_标准化'!D12,'3_标准化'!D13,'3_标准化'!D15)),1,0)+IF(AVERAGE('3_标准化'!E7,'3_标准化'!E8,'3_标准化'!E9,'3_标准化'!E10,'3_标准化'!E11)=MIN(AVERAGE('3_标准化'!E3,'3_标准化'!E4,'3_标准化'!E5,'3_标准化'!E6),AVERAGE('3_标准化'!E7,'3_标准化'!E8,'3_标准化'!E9,'3_标准化'!E10,'3_标准化'!E11),AVERAGE('3_标准化'!E12,'3_标准化'!E13,'3_标准化'!E15)),1,0)+IF(AVERAGE('3_标准化'!F7,'3_标准化'!F8,'3_标准化'!F9,'3_标准化'!F10,'3_标准化'!F11)=MIN(AVERAGE('3_标准化'!F3,'3_标准化'!F4,'3_标准化'!F5,'3_标准化'!F6),AVERAGE('3_标准化'!F7,'3_标准化'!F8,'3_标准化'!F9,'3_标准化'!F10,'3_标准化'!F11),AVERAGE('3_标准化'!F12,'3_标准化'!F13,'3_标准化'!F15)),1,0)+IF(AVERAGE('3_标准化'!G7,'3_标准化'!G8,'3_标准化'!G9,'3_标准化'!G10,'3_标准化'!G11)=MIN(AVERAGE('3_标准化'!G3,'3_标准化'!G4,'3_标准化'!G5,'3_标准化'!G6),AVERAGE('3_标准化'!G7,'3_标准化'!G8,'3_标准化'!G9,'3_标准化'!G10,'3_标准化'!G11),AVERAGE('3_标准化'!G12,'3_标准化'!G13,'3_标准化'!G15)),1,0)+IF(AVERAGE('3_标准化'!H7,'3_标准化'!H8,'3_标准化'!H9,'3_标准化'!H10,'3_标准化'!H11)=MIN(AVERAGE('3_标准化'!H3,'3_标准化'!H4,'3_标准化'!H5,'3_标准化'!H6),AVERAGE('3_标准化'!H7,'3_标准化'!H8,'3_标准化'!H9,'3_标准化'!H10,'3_标准化'!H11),AVERAGE('3_标准化'!H12,'3_标准化'!H13,'3_标准化'!H15)),1,0)+IF(AVERAGE('3_标准化'!I7,'3_标准化'!I8,'3_标准化'!I9,'3_标准化'!I10,'3_标准化'!I11)=MIN(AVERAGE('3_标准化'!I3,'3_标准化'!I4,'3_标准化'!I5,'3_标准化'!I6),AVERAGE('3_标准化'!I7,'3_标准化'!I8,'3_标准化'!I9,'3_标准化'!I10,'3_标准化'!I11),AVERAGE('3_标准化'!I12,'3_标准化'!I13,'3_标准化'!I15)),1,0)+IF(AVERAGE('3_标准化'!J7,'3_标准化'!J8,'3_标准化'!J9,'3_标准化'!J10,'3_标准化'!J11)=MIN(AVERAGE('3_标准化'!J3,'3_标准化'!J4,'3_标准化'!J5,'3_标准化'!J6),AVERAGE('3_标准化'!J7,'3_标准化'!J8,'3_标准化'!J9,'3_标准化'!J10,'3_标准化'!J11),AVERAGE('3_标准化'!J12,'3_标准化'!J13,'3_标准化'!J15)),1,0)+IF(AVERAGE('3_标准化'!K7,'3_标准化'!K8,'3_标准化'!K9,'3_标准化'!K10,'3_标准化'!K11)=MIN(AVERAGE('3_标准化'!K3,'3_标准化'!K4,'3_标准化'!K5,'3_标准化'!K6),AVERAGE('3_标准化'!K7,'3_标准化'!K8,'3_标准化'!K9,'3_标准化'!K10,'3_标准化'!K11),AVERAGE('3_标准化'!K12,'3_标准化'!K13,'3_标准化'!K15)),1,0)+IF(AVERAGE('3_标准化'!L7,'3_标准化'!L8,'3_标准化'!L9,'3_标准化'!L10,'3_标准化'!L11)=MIN(AVERAGE('3_标准化'!L3,'3_标准化'!L4,'3_标准化'!L5,'3_标准化'!L6),AVERAGE('3_标准化'!L7,'3_标准化'!L8,'3_标准化'!L9,'3_标准化'!L10,'3_标准化'!L11),AVERAGE('3_标准化'!L12,'3_标准化'!L13,'3_标准化'!L15)),1,0)</f>
        <v/>
      </c>
      <c r="N14" s="18">
        <f>C14</f>
        <v/>
      </c>
      <c r="O14" s="20">
        <f>L14</f>
        <v/>
      </c>
    </row>
    <row r="15">
      <c r="A15" s="5" t="inlineStr">
        <is>
          <t>E4 草原综合植被盖度</t>
        </is>
      </c>
      <c r="B15" s="5" t="inlineStr">
        <is>
          <t>生态 E</t>
        </is>
      </c>
      <c r="C15" s="18">
        <f>(AVERAGE(AVERAGE('3_标准化'!C3,'3_标准化'!C4,'3_标准化'!C5,'3_标准化'!C6),AVERAGE('3_标准化'!C7,'3_标准化'!C8,'3_标准化'!C9,'3_标准化'!C10,'3_标准化'!C11),AVERAGE('3_标准化'!C12,'3_标准化'!C13,'3_标准化'!C14))-VAR.P(AVERAGE('3_标准化'!C3,'3_标准化'!C4,'3_标准化'!C5,'3_标准化'!C6),AVERAGE('3_标准化'!C7,'3_标准化'!C8,'3_标准化'!C9,'3_标准化'!C10,'3_标准化'!C11),AVERAGE('3_标准化'!C12,'3_标准化'!C13,'3_标准化'!C14))/AVERAGE(AVERAGE('3_标准化'!C3,'3_标准化'!C4,'3_标准化'!C5,'3_标准化'!C6),AVERAGE('3_标准化'!C7,'3_标准化'!C8,'3_标准化'!C9,'3_标准化'!C10,'3_标准化'!C11),AVERAGE('3_标准化'!C12,'3_标准化'!C13,'3_标准化'!C14)))</f>
        <v/>
      </c>
      <c r="D15" s="18">
        <f>(AVERAGE(AVERAGE('3_标准化'!D3,'3_标准化'!D4,'3_标准化'!D5,'3_标准化'!D6),AVERAGE('3_标准化'!D7,'3_标准化'!D8,'3_标准化'!D9,'3_标准化'!D10,'3_标准化'!D11),AVERAGE('3_标准化'!D12,'3_标准化'!D13,'3_标准化'!D14))-VAR.P(AVERAGE('3_标准化'!D3,'3_标准化'!D4,'3_标准化'!D5,'3_标准化'!D6),AVERAGE('3_标准化'!D7,'3_标准化'!D8,'3_标准化'!D9,'3_标准化'!D10,'3_标准化'!D11),AVERAGE('3_标准化'!D12,'3_标准化'!D13,'3_标准化'!D14))/AVERAGE(AVERAGE('3_标准化'!D3,'3_标准化'!D4,'3_标准化'!D5,'3_标准化'!D6),AVERAGE('3_标准化'!D7,'3_标准化'!D8,'3_标准化'!D9,'3_标准化'!D10,'3_标准化'!D11),AVERAGE('3_标准化'!D12,'3_标准化'!D13,'3_标准化'!D14)))</f>
        <v/>
      </c>
      <c r="E15" s="18">
        <f>(AVERAGE(AVERAGE('3_标准化'!E3,'3_标准化'!E4,'3_标准化'!E5,'3_标准化'!E6),AVERAGE('3_标准化'!E7,'3_标准化'!E8,'3_标准化'!E9,'3_标准化'!E10,'3_标准化'!E11),AVERAGE('3_标准化'!E12,'3_标准化'!E13,'3_标准化'!E14))-VAR.P(AVERAGE('3_标准化'!E3,'3_标准化'!E4,'3_标准化'!E5,'3_标准化'!E6),AVERAGE('3_标准化'!E7,'3_标准化'!E8,'3_标准化'!E9,'3_标准化'!E10,'3_标准化'!E11),AVERAGE('3_标准化'!E12,'3_标准化'!E13,'3_标准化'!E14))/AVERAGE(AVERAGE('3_标准化'!E3,'3_标准化'!E4,'3_标准化'!E5,'3_标准化'!E6),AVERAGE('3_标准化'!E7,'3_标准化'!E8,'3_标准化'!E9,'3_标准化'!E10,'3_标准化'!E11),AVERAGE('3_标准化'!E12,'3_标准化'!E13,'3_标准化'!E14)))</f>
        <v/>
      </c>
      <c r="F15" s="18">
        <f>(AVERAGE(AVERAGE('3_标准化'!F3,'3_标准化'!F4,'3_标准化'!F5,'3_标准化'!F6),AVERAGE('3_标准化'!F7,'3_标准化'!F8,'3_标准化'!F9,'3_标准化'!F10,'3_标准化'!F11),AVERAGE('3_标准化'!F12,'3_标准化'!F13,'3_标准化'!F14))-VAR.P(AVERAGE('3_标准化'!F3,'3_标准化'!F4,'3_标准化'!F5,'3_标准化'!F6),AVERAGE('3_标准化'!F7,'3_标准化'!F8,'3_标准化'!F9,'3_标准化'!F10,'3_标准化'!F11),AVERAGE('3_标准化'!F12,'3_标准化'!F13,'3_标准化'!F14))/AVERAGE(AVERAGE('3_标准化'!F3,'3_标准化'!F4,'3_标准化'!F5,'3_标准化'!F6),AVERAGE('3_标准化'!F7,'3_标准化'!F8,'3_标准化'!F9,'3_标准化'!F10,'3_标准化'!F11),AVERAGE('3_标准化'!F12,'3_标准化'!F13,'3_标准化'!F14)))</f>
        <v/>
      </c>
      <c r="G15" s="18">
        <f>(AVERAGE(AVERAGE('3_标准化'!G3,'3_标准化'!G4,'3_标准化'!G5,'3_标准化'!G6),AVERAGE('3_标准化'!G7,'3_标准化'!G8,'3_标准化'!G9,'3_标准化'!G10,'3_标准化'!G11),AVERAGE('3_标准化'!G12,'3_标准化'!G13,'3_标准化'!G14))-VAR.P(AVERAGE('3_标准化'!G3,'3_标准化'!G4,'3_标准化'!G5,'3_标准化'!G6),AVERAGE('3_标准化'!G7,'3_标准化'!G8,'3_标准化'!G9,'3_标准化'!G10,'3_标准化'!G11),AVERAGE('3_标准化'!G12,'3_标准化'!G13,'3_标准化'!G14))/AVERAGE(AVERAGE('3_标准化'!G3,'3_标准化'!G4,'3_标准化'!G5,'3_标准化'!G6),AVERAGE('3_标准化'!G7,'3_标准化'!G8,'3_标准化'!G9,'3_标准化'!G10,'3_标准化'!G11),AVERAGE('3_标准化'!G12,'3_标准化'!G13,'3_标准化'!G14)))</f>
        <v/>
      </c>
      <c r="H15" s="18">
        <f>(AVERAGE(AVERAGE('3_标准化'!H3,'3_标准化'!H4,'3_标准化'!H5,'3_标准化'!H6),AVERAGE('3_标准化'!H7,'3_标准化'!H8,'3_标准化'!H9,'3_标准化'!H10,'3_标准化'!H11),AVERAGE('3_标准化'!H12,'3_标准化'!H13,'3_标准化'!H14))-VAR.P(AVERAGE('3_标准化'!H3,'3_标准化'!H4,'3_标准化'!H5,'3_标准化'!H6),AVERAGE('3_标准化'!H7,'3_标准化'!H8,'3_标准化'!H9,'3_标准化'!H10,'3_标准化'!H11),AVERAGE('3_标准化'!H12,'3_标准化'!H13,'3_标准化'!H14))/AVERAGE(AVERAGE('3_标准化'!H3,'3_标准化'!H4,'3_标准化'!H5,'3_标准化'!H6),AVERAGE('3_标准化'!H7,'3_标准化'!H8,'3_标准化'!H9,'3_标准化'!H10,'3_标准化'!H11),AVERAGE('3_标准化'!H12,'3_标准化'!H13,'3_标准化'!H14)))</f>
        <v/>
      </c>
      <c r="I15" s="18">
        <f>(AVERAGE(AVERAGE('3_标准化'!I3,'3_标准化'!I4,'3_标准化'!I5,'3_标准化'!I6),AVERAGE('3_标准化'!I7,'3_标准化'!I8,'3_标准化'!I9,'3_标准化'!I10,'3_标准化'!I11),AVERAGE('3_标准化'!I12,'3_标准化'!I13,'3_标准化'!I14))-VAR.P(AVERAGE('3_标准化'!I3,'3_标准化'!I4,'3_标准化'!I5,'3_标准化'!I6),AVERAGE('3_标准化'!I7,'3_标准化'!I8,'3_标准化'!I9,'3_标准化'!I10,'3_标准化'!I11),AVERAGE('3_标准化'!I12,'3_标准化'!I13,'3_标准化'!I14))/AVERAGE(AVERAGE('3_标准化'!I3,'3_标准化'!I4,'3_标准化'!I5,'3_标准化'!I6),AVERAGE('3_标准化'!I7,'3_标准化'!I8,'3_标准化'!I9,'3_标准化'!I10,'3_标准化'!I11),AVERAGE('3_标准化'!I12,'3_标准化'!I13,'3_标准化'!I14)))</f>
        <v/>
      </c>
      <c r="J15" s="18">
        <f>(AVERAGE(AVERAGE('3_标准化'!J3,'3_标准化'!J4,'3_标准化'!J5,'3_标准化'!J6),AVERAGE('3_标准化'!J7,'3_标准化'!J8,'3_标准化'!J9,'3_标准化'!J10,'3_标准化'!J11),AVERAGE('3_标准化'!J12,'3_标准化'!J13,'3_标准化'!J14))-VAR.P(AVERAGE('3_标准化'!J3,'3_标准化'!J4,'3_标准化'!J5,'3_标准化'!J6),AVERAGE('3_标准化'!J7,'3_标准化'!J8,'3_标准化'!J9,'3_标准化'!J10,'3_标准化'!J11),AVERAGE('3_标准化'!J12,'3_标准化'!J13,'3_标准化'!J14))/AVERAGE(AVERAGE('3_标准化'!J3,'3_标准化'!J4,'3_标准化'!J5,'3_标准化'!J6),AVERAGE('3_标准化'!J7,'3_标准化'!J8,'3_标准化'!J9,'3_标准化'!J10,'3_标准化'!J11),AVERAGE('3_标准化'!J12,'3_标准化'!J13,'3_标准化'!J14)))</f>
        <v/>
      </c>
      <c r="K15" s="18">
        <f>(AVERAGE(AVERAGE('3_标准化'!K3,'3_标准化'!K4,'3_标准化'!K5,'3_标准化'!K6),AVERAGE('3_标准化'!K7,'3_标准化'!K8,'3_标准化'!K9,'3_标准化'!K10,'3_标准化'!K11),AVERAGE('3_标准化'!K12,'3_标准化'!K13,'3_标准化'!K14))-VAR.P(AVERAGE('3_标准化'!K3,'3_标准化'!K4,'3_标准化'!K5,'3_标准化'!K6),AVERAGE('3_标准化'!K7,'3_标准化'!K8,'3_标准化'!K9,'3_标准化'!K10,'3_标准化'!K11),AVERAGE('3_标准化'!K12,'3_标准化'!K13,'3_标准化'!K14))/AVERAGE(AVERAGE('3_标准化'!K3,'3_标准化'!K4,'3_标准化'!K5,'3_标准化'!K6),AVERAGE('3_标准化'!K7,'3_标准化'!K8,'3_标准化'!K9,'3_标准化'!K10,'3_标准化'!K11),AVERAGE('3_标准化'!K12,'3_标准化'!K13,'3_标准化'!K14)))</f>
        <v/>
      </c>
      <c r="L15" s="18">
        <f>(AVERAGE(AVERAGE('3_标准化'!L3,'3_标准化'!L4,'3_标准化'!L5,'3_标准化'!L6),AVERAGE('3_标准化'!L7,'3_标准化'!L8,'3_标准化'!L9,'3_标准化'!L10,'3_标准化'!L11),AVERAGE('3_标准化'!L12,'3_标准化'!L13,'3_标准化'!L14))-VAR.P(AVERAGE('3_标准化'!L3,'3_标准化'!L4,'3_标准化'!L5,'3_标准化'!L6),AVERAGE('3_标准化'!L7,'3_标准化'!L8,'3_标准化'!L9,'3_标准化'!L10,'3_标准化'!L11),AVERAGE('3_标准化'!L12,'3_标准化'!L13,'3_标准化'!L14))/AVERAGE(AVERAGE('3_标准化'!L3,'3_标准化'!L4,'3_标准化'!L5,'3_标准化'!L6),AVERAGE('3_标准化'!L7,'3_标准化'!L8,'3_标准化'!L9,'3_标准化'!L10,'3_标准化'!L11),AVERAGE('3_标准化'!L12,'3_标准化'!L13,'3_标准化'!L14)))</f>
        <v/>
      </c>
      <c r="M15" s="5">
        <f>IF(AVERAGE('3_标准化'!C7,'3_标准化'!C8,'3_标准化'!C9,'3_标准化'!C10,'3_标准化'!C11)=MIN(AVERAGE('3_标准化'!C3,'3_标准化'!C4,'3_标准化'!C5,'3_标准化'!C6),AVERAGE('3_标准化'!C7,'3_标准化'!C8,'3_标准化'!C9,'3_标准化'!C10,'3_标准化'!C11),AVERAGE('3_标准化'!C12,'3_标准化'!C13,'3_标准化'!C14)),1,0)+IF(AVERAGE('3_标准化'!D7,'3_标准化'!D8,'3_标准化'!D9,'3_标准化'!D10,'3_标准化'!D11)=MIN(AVERAGE('3_标准化'!D3,'3_标准化'!D4,'3_标准化'!D5,'3_标准化'!D6),AVERAGE('3_标准化'!D7,'3_标准化'!D8,'3_标准化'!D9,'3_标准化'!D10,'3_标准化'!D11),AVERAGE('3_标准化'!D12,'3_标准化'!D13,'3_标准化'!D14)),1,0)+IF(AVERAGE('3_标准化'!E7,'3_标准化'!E8,'3_标准化'!E9,'3_标准化'!E10,'3_标准化'!E11)=MIN(AVERAGE('3_标准化'!E3,'3_标准化'!E4,'3_标准化'!E5,'3_标准化'!E6),AVERAGE('3_标准化'!E7,'3_标准化'!E8,'3_标准化'!E9,'3_标准化'!E10,'3_标准化'!E11),AVERAGE('3_标准化'!E12,'3_标准化'!E13,'3_标准化'!E14)),1,0)+IF(AVERAGE('3_标准化'!F7,'3_标准化'!F8,'3_标准化'!F9,'3_标准化'!F10,'3_标准化'!F11)=MIN(AVERAGE('3_标准化'!F3,'3_标准化'!F4,'3_标准化'!F5,'3_标准化'!F6),AVERAGE('3_标准化'!F7,'3_标准化'!F8,'3_标准化'!F9,'3_标准化'!F10,'3_标准化'!F11),AVERAGE('3_标准化'!F12,'3_标准化'!F13,'3_标准化'!F14)),1,0)+IF(AVERAGE('3_标准化'!G7,'3_标准化'!G8,'3_标准化'!G9,'3_标准化'!G10,'3_标准化'!G11)=MIN(AVERAGE('3_标准化'!G3,'3_标准化'!G4,'3_标准化'!G5,'3_标准化'!G6),AVERAGE('3_标准化'!G7,'3_标准化'!G8,'3_标准化'!G9,'3_标准化'!G10,'3_标准化'!G11),AVERAGE('3_标准化'!G12,'3_标准化'!G13,'3_标准化'!G14)),1,0)+IF(AVERAGE('3_标准化'!H7,'3_标准化'!H8,'3_标准化'!H9,'3_标准化'!H10,'3_标准化'!H11)=MIN(AVERAGE('3_标准化'!H3,'3_标准化'!H4,'3_标准化'!H5,'3_标准化'!H6),AVERAGE('3_标准化'!H7,'3_标准化'!H8,'3_标准化'!H9,'3_标准化'!H10,'3_标准化'!H11),AVERAGE('3_标准化'!H12,'3_标准化'!H13,'3_标准化'!H14)),1,0)+IF(AVERAGE('3_标准化'!I7,'3_标准化'!I8,'3_标准化'!I9,'3_标准化'!I10,'3_标准化'!I11)=MIN(AVERAGE('3_标准化'!I3,'3_标准化'!I4,'3_标准化'!I5,'3_标准化'!I6),AVERAGE('3_标准化'!I7,'3_标准化'!I8,'3_标准化'!I9,'3_标准化'!I10,'3_标准化'!I11),AVERAGE('3_标准化'!I12,'3_标准化'!I13,'3_标准化'!I14)),1,0)+IF(AVERAGE('3_标准化'!J7,'3_标准化'!J8,'3_标准化'!J9,'3_标准化'!J10,'3_标准化'!J11)=MIN(AVERAGE('3_标准化'!J3,'3_标准化'!J4,'3_标准化'!J5,'3_标准化'!J6),AVERAGE('3_标准化'!J7,'3_标准化'!J8,'3_标准化'!J9,'3_标准化'!J10,'3_标准化'!J11),AVERAGE('3_标准化'!J12,'3_标准化'!J13,'3_标准化'!J14)),1,0)+IF(AVERAGE('3_标准化'!K7,'3_标准化'!K8,'3_标准化'!K9,'3_标准化'!K10,'3_标准化'!K11)=MIN(AVERAGE('3_标准化'!K3,'3_标准化'!K4,'3_标准化'!K5,'3_标准化'!K6),AVERAGE('3_标准化'!K7,'3_标准化'!K8,'3_标准化'!K9,'3_标准化'!K10,'3_标准化'!K11),AVERAGE('3_标准化'!K12,'3_标准化'!K13,'3_标准化'!K14)),1,0)+IF(AVERAGE('3_标准化'!L7,'3_标准化'!L8,'3_标准化'!L9,'3_标准化'!L10,'3_标准化'!L11)=MIN(AVERAGE('3_标准化'!L3,'3_标准化'!L4,'3_标准化'!L5,'3_标准化'!L6),AVERAGE('3_标准化'!L7,'3_标准化'!L8,'3_标准化'!L9,'3_标准化'!L10,'3_标准化'!L11),AVERAGE('3_标准化'!L12,'3_标准化'!L13,'3_标准化'!L14)),1,0)</f>
        <v/>
      </c>
      <c r="N15" s="18">
        <f>C15</f>
        <v/>
      </c>
      <c r="O15" s="20">
        <f>L15</f>
        <v/>
      </c>
    </row>
    <row r="17">
      <c r="A17" s="3" t="inlineStr">
        <is>
          <t>频次统计（论文§5(三) 建议补报）</t>
        </is>
      </c>
    </row>
    <row r="18">
      <c r="A18" t="inlineStr">
        <is>
          <t>发展最弱年数 ≥3 年的设定数</t>
        </is>
      </c>
      <c r="C18">
        <f>COUNTIF(M3:M15,"&gt;=3")</f>
        <v/>
      </c>
    </row>
    <row r="19">
      <c r="A19" t="inlineStr">
        <is>
          <t>发展最弱年数 最小值 / 最大值</t>
        </is>
      </c>
      <c r="C19">
        <f>MIN(M3:M15)&amp;" / "&amp;MAX(M3:M15)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稳健性检验：滚动端点稳定性、极差标准化对照、惯例性上限±25%扰动</t>
        </is>
      </c>
    </row>
    <row r="3">
      <c r="A3" s="3" t="inlineStr">
        <is>
          <t>(一) 滚动端点稳定性：固定基准法 vs 极差标准化</t>
        </is>
      </c>
    </row>
    <row r="4">
      <c r="A4" t="inlineStr">
        <is>
          <t>固定基准法的上下限外生，截断样本不改变历史年份取值（差异恒为0）；极差法以样本极值为分母，截断样本会回溯改写历史值。</t>
        </is>
      </c>
    </row>
    <row r="6">
      <c r="A6" s="4" t="inlineStr">
        <is>
          <t>编码</t>
        </is>
      </c>
      <c r="B6" s="4" t="inlineStr">
        <is>
          <t>指标</t>
        </is>
      </c>
      <c r="C6" s="4" t="inlineStr">
        <is>
          <t>口径</t>
        </is>
      </c>
      <c r="D6" s="4" t="inlineStr">
        <is>
          <t>2016</t>
        </is>
      </c>
      <c r="E6" s="4" t="inlineStr">
        <is>
          <t>2017</t>
        </is>
      </c>
      <c r="F6" s="4" t="inlineStr">
        <is>
          <t>2018</t>
        </is>
      </c>
      <c r="G6" s="4" t="inlineStr">
        <is>
          <t>2019</t>
        </is>
      </c>
      <c r="H6" s="4" t="inlineStr">
        <is>
          <t>2020</t>
        </is>
      </c>
      <c r="I6" s="4" t="inlineStr">
        <is>
          <t>2021</t>
        </is>
      </c>
      <c r="J6" s="4" t="inlineStr">
        <is>
          <t>2022</t>
        </is>
      </c>
      <c r="K6" s="4" t="inlineStr">
        <is>
          <t>2023</t>
        </is>
      </c>
      <c r="L6" s="4" t="inlineStr">
        <is>
          <t>2024</t>
        </is>
      </c>
      <c r="M6" s="4" t="inlineStr">
        <is>
          <t>2025</t>
        </is>
      </c>
    </row>
    <row r="7">
      <c r="A7" s="5" t="inlineStr">
        <is>
          <t>S1</t>
        </is>
      </c>
      <c r="B7" s="5" t="inlineStr">
        <is>
          <t>人均一般公共预算收入（元/人）</t>
        </is>
      </c>
      <c r="C7" s="7">
        <f>0.98*(('2_指标值'!G3-MIN('2_指标值'!$G$3:$P$3))/(MAX('2_指标值'!$G$3:$P$3)-MIN('2_指标值'!$G$3:$P$3)))+0.01</f>
        <v/>
      </c>
      <c r="D7" s="7">
        <f>0.98*(('2_指标值'!H3-MIN('2_指标值'!$G$3:$P$3))/(MAX('2_指标值'!$G$3:$P$3)-MIN('2_指标值'!$G$3:$P$3)))+0.01</f>
        <v/>
      </c>
      <c r="E7" s="7">
        <f>0.98*(('2_指标值'!I3-MIN('2_指标值'!$G$3:$P$3))/(MAX('2_指标值'!$G$3:$P$3)-MIN('2_指标值'!$G$3:$P$3)))+0.01</f>
        <v/>
      </c>
      <c r="F7" s="7">
        <f>0.98*(('2_指标值'!J3-MIN('2_指标值'!$G$3:$P$3))/(MAX('2_指标值'!$G$3:$P$3)-MIN('2_指标值'!$G$3:$P$3)))+0.01</f>
        <v/>
      </c>
      <c r="G7" s="7">
        <f>0.98*(('2_指标值'!K3-MIN('2_指标值'!$G$3:$P$3))/(MAX('2_指标值'!$G$3:$P$3)-MIN('2_指标值'!$G$3:$P$3)))+0.01</f>
        <v/>
      </c>
      <c r="H7" s="7">
        <f>0.98*(('2_指标值'!L3-MIN('2_指标值'!$G$3:$P$3))/(MAX('2_指标值'!$G$3:$P$3)-MIN('2_指标值'!$G$3:$P$3)))+0.01</f>
        <v/>
      </c>
      <c r="I7" s="7">
        <f>0.98*(('2_指标值'!M3-MIN('2_指标值'!$G$3:$P$3))/(MAX('2_指标值'!$G$3:$P$3)-MIN('2_指标值'!$G$3:$P$3)))+0.01</f>
        <v/>
      </c>
    </row>
    <row r="8">
      <c r="A8" s="5" t="inlineStr">
        <is>
          <t>S1</t>
        </is>
      </c>
      <c r="B8" s="5" t="inlineStr">
        <is>
          <t>人均一般公共预算收入（元/人）</t>
        </is>
      </c>
      <c r="C8" s="7">
        <f>0.98*(('2_指标值'!G3-MIN('2_指标值'!$G$3:$M$3))/(MAX('2_指标值'!$G$3:$M$3)-MIN('2_指标值'!$G$3:$M$3)))+0.01</f>
        <v/>
      </c>
      <c r="D8" s="7">
        <f>0.98*(('2_指标值'!H3-MIN('2_指标值'!$G$3:$M$3))/(MAX('2_指标值'!$G$3:$M$3)-MIN('2_指标值'!$G$3:$M$3)))+0.01</f>
        <v/>
      </c>
      <c r="E8" s="7">
        <f>0.98*(('2_指标值'!I3-MIN('2_指标值'!$G$3:$M$3))/(MAX('2_指标值'!$G$3:$M$3)-MIN('2_指标值'!$G$3:$M$3)))+0.01</f>
        <v/>
      </c>
      <c r="F8" s="7">
        <f>0.98*(('2_指标值'!J3-MIN('2_指标值'!$G$3:$M$3))/(MAX('2_指标值'!$G$3:$M$3)-MIN('2_指标值'!$G$3:$M$3)))+0.01</f>
        <v/>
      </c>
      <c r="G8" s="7">
        <f>0.98*(('2_指标值'!K3-MIN('2_指标值'!$G$3:$M$3))/(MAX('2_指标值'!$G$3:$M$3)-MIN('2_指标值'!$G$3:$M$3)))+0.01</f>
        <v/>
      </c>
      <c r="H8" s="7">
        <f>0.98*(('2_指标值'!L3-MIN('2_指标值'!$G$3:$M$3))/(MAX('2_指标值'!$G$3:$M$3)-MIN('2_指标值'!$G$3:$M$3)))+0.01</f>
        <v/>
      </c>
      <c r="I8" s="7">
        <f>0.98*(('2_指标值'!M3-MIN('2_指标值'!$G$3:$M$3))/(MAX('2_指标值'!$G$3:$M$3)-MIN('2_指标值'!$G$3:$M$3)))+0.01</f>
        <v/>
      </c>
    </row>
    <row r="9">
      <c r="C9" s="21">
        <f>C8-C7</f>
        <v/>
      </c>
      <c r="D9" s="11">
        <f>D8-D7</f>
        <v/>
      </c>
      <c r="E9" s="11">
        <f>E8-E7</f>
        <v/>
      </c>
      <c r="F9" s="11">
        <f>F8-F7</f>
        <v/>
      </c>
      <c r="G9" s="11">
        <f>G8-G7</f>
        <v/>
      </c>
      <c r="H9" s="11">
        <f>H8-H7</f>
        <v/>
      </c>
      <c r="I9" s="11">
        <f>I8-I7</f>
        <v/>
      </c>
    </row>
    <row r="10">
      <c r="A10" s="5" t="inlineStr">
        <is>
          <t>S2</t>
        </is>
      </c>
      <c r="B10" s="5" t="inlineStr">
        <is>
          <t>城乡居民收入比与全国差距（倍）</t>
        </is>
      </c>
      <c r="C10" s="7">
        <f>0.98*((MAX('2_指标值'!$G$4:$P$4)-'2_指标值'!G4)/(MAX('2_指标值'!$G$4:$P$4)-MIN('2_指标值'!$G$4:$P$4)))+0.01</f>
        <v/>
      </c>
      <c r="D10" s="7">
        <f>0.98*((MAX('2_指标值'!$G$4:$P$4)-'2_指标值'!H4)/(MAX('2_指标值'!$G$4:$P$4)-MIN('2_指标值'!$G$4:$P$4)))+0.01</f>
        <v/>
      </c>
      <c r="E10" s="7">
        <f>0.98*((MAX('2_指标值'!$G$4:$P$4)-'2_指标值'!I4)/(MAX('2_指标值'!$G$4:$P$4)-MIN('2_指标值'!$G$4:$P$4)))+0.01</f>
        <v/>
      </c>
      <c r="F10" s="7">
        <f>0.98*((MAX('2_指标值'!$G$4:$P$4)-'2_指标值'!J4)/(MAX('2_指标值'!$G$4:$P$4)-MIN('2_指标值'!$G$4:$P$4)))+0.01</f>
        <v/>
      </c>
      <c r="G10" s="7">
        <f>0.98*((MAX('2_指标值'!$G$4:$P$4)-'2_指标值'!K4)/(MAX('2_指标值'!$G$4:$P$4)-MIN('2_指标值'!$G$4:$P$4)))+0.01</f>
        <v/>
      </c>
      <c r="H10" s="7">
        <f>0.98*((MAX('2_指标值'!$G$4:$P$4)-'2_指标值'!L4)/(MAX('2_指标值'!$G$4:$P$4)-MIN('2_指标值'!$G$4:$P$4)))+0.01</f>
        <v/>
      </c>
      <c r="I10" s="7">
        <f>0.98*((MAX('2_指标值'!$G$4:$P$4)-'2_指标值'!M4)/(MAX('2_指标值'!$G$4:$P$4)-MIN('2_指标值'!$G$4:$P$4)))+0.01</f>
        <v/>
      </c>
    </row>
    <row r="11">
      <c r="A11" s="5" t="inlineStr">
        <is>
          <t>S2</t>
        </is>
      </c>
      <c r="B11" s="5" t="inlineStr">
        <is>
          <t>城乡居民收入比与全国差距（倍）</t>
        </is>
      </c>
      <c r="C11" s="7">
        <f>0.98*((MAX('2_指标值'!$G$4:$M$4)-'2_指标值'!G4)/(MAX('2_指标值'!$G$4:$M$4)-MIN('2_指标值'!$G$4:$M$4)))+0.01</f>
        <v/>
      </c>
      <c r="D11" s="7">
        <f>0.98*((MAX('2_指标值'!$G$4:$M$4)-'2_指标值'!H4)/(MAX('2_指标值'!$G$4:$M$4)-MIN('2_指标值'!$G$4:$M$4)))+0.01</f>
        <v/>
      </c>
      <c r="E11" s="7">
        <f>0.98*((MAX('2_指标值'!$G$4:$M$4)-'2_指标值'!I4)/(MAX('2_指标值'!$G$4:$M$4)-MIN('2_指标值'!$G$4:$M$4)))+0.01</f>
        <v/>
      </c>
      <c r="F11" s="7">
        <f>0.98*((MAX('2_指标值'!$G$4:$M$4)-'2_指标值'!J4)/(MAX('2_指标值'!$G$4:$M$4)-MIN('2_指标值'!$G$4:$M$4)))+0.01</f>
        <v/>
      </c>
      <c r="G11" s="7">
        <f>0.98*((MAX('2_指标值'!$G$4:$M$4)-'2_指标值'!K4)/(MAX('2_指标值'!$G$4:$M$4)-MIN('2_指标值'!$G$4:$M$4)))+0.01</f>
        <v/>
      </c>
      <c r="H11" s="7">
        <f>0.98*((MAX('2_指标值'!$G$4:$M$4)-'2_指标值'!L4)/(MAX('2_指标值'!$G$4:$M$4)-MIN('2_指标值'!$G$4:$M$4)))+0.01</f>
        <v/>
      </c>
      <c r="I11" s="7">
        <f>0.98*((MAX('2_指标值'!$G$4:$M$4)-'2_指标值'!M4)/(MAX('2_指标值'!$G$4:$M$4)-MIN('2_指标值'!$G$4:$M$4)))+0.01</f>
        <v/>
      </c>
    </row>
    <row r="12">
      <c r="C12" s="21">
        <f>C11-C10</f>
        <v/>
      </c>
      <c r="D12" s="11">
        <f>D11-D10</f>
        <v/>
      </c>
      <c r="E12" s="11">
        <f>E11-E10</f>
        <v/>
      </c>
      <c r="F12" s="11">
        <f>F11-F10</f>
        <v/>
      </c>
      <c r="G12" s="11">
        <f>G11-G10</f>
        <v/>
      </c>
      <c r="H12" s="11">
        <f>H11-H10</f>
        <v/>
      </c>
      <c r="I12" s="11">
        <f>I11-I10</f>
        <v/>
      </c>
    </row>
    <row r="13">
      <c r="A13" s="5" t="inlineStr">
        <is>
          <t>S3</t>
        </is>
      </c>
      <c r="B13" s="5" t="inlineStr">
        <is>
          <t>居民医保人均财政补助标准（元/人年）</t>
        </is>
      </c>
      <c r="C13" s="7">
        <f>0.98*(('2_指标值'!G5-MIN('2_指标值'!$G$5:$P$5))/(MAX('2_指标值'!$G$5:$P$5)-MIN('2_指标值'!$G$5:$P$5)))+0.01</f>
        <v/>
      </c>
      <c r="D13" s="7">
        <f>0.98*(('2_指标值'!H5-MIN('2_指标值'!$G$5:$P$5))/(MAX('2_指标值'!$G$5:$P$5)-MIN('2_指标值'!$G$5:$P$5)))+0.01</f>
        <v/>
      </c>
      <c r="E13" s="7">
        <f>0.98*(('2_指标值'!I5-MIN('2_指标值'!$G$5:$P$5))/(MAX('2_指标值'!$G$5:$P$5)-MIN('2_指标值'!$G$5:$P$5)))+0.01</f>
        <v/>
      </c>
      <c r="F13" s="7">
        <f>0.98*(('2_指标值'!J5-MIN('2_指标值'!$G$5:$P$5))/(MAX('2_指标值'!$G$5:$P$5)-MIN('2_指标值'!$G$5:$P$5)))+0.01</f>
        <v/>
      </c>
      <c r="G13" s="7">
        <f>0.98*(('2_指标值'!K5-MIN('2_指标值'!$G$5:$P$5))/(MAX('2_指标值'!$G$5:$P$5)-MIN('2_指标值'!$G$5:$P$5)))+0.01</f>
        <v/>
      </c>
      <c r="H13" s="7">
        <f>0.98*(('2_指标值'!L5-MIN('2_指标值'!$G$5:$P$5))/(MAX('2_指标值'!$G$5:$P$5)-MIN('2_指标值'!$G$5:$P$5)))+0.01</f>
        <v/>
      </c>
      <c r="I13" s="7">
        <f>0.98*(('2_指标值'!M5-MIN('2_指标值'!$G$5:$P$5))/(MAX('2_指标值'!$G$5:$P$5)-MIN('2_指标值'!$G$5:$P$5)))+0.01</f>
        <v/>
      </c>
    </row>
    <row r="14">
      <c r="A14" s="5" t="inlineStr">
        <is>
          <t>S3</t>
        </is>
      </c>
      <c r="B14" s="5" t="inlineStr">
        <is>
          <t>居民医保人均财政补助标准（元/人年）</t>
        </is>
      </c>
      <c r="C14" s="7">
        <f>0.98*(('2_指标值'!G5-MIN('2_指标值'!$G$5:$M$5))/(MAX('2_指标值'!$G$5:$M$5)-MIN('2_指标值'!$G$5:$M$5)))+0.01</f>
        <v/>
      </c>
      <c r="D14" s="7">
        <f>0.98*(('2_指标值'!H5-MIN('2_指标值'!$G$5:$M$5))/(MAX('2_指标值'!$G$5:$M$5)-MIN('2_指标值'!$G$5:$M$5)))+0.01</f>
        <v/>
      </c>
      <c r="E14" s="7">
        <f>0.98*(('2_指标值'!I5-MIN('2_指标值'!$G$5:$M$5))/(MAX('2_指标值'!$G$5:$M$5)-MIN('2_指标值'!$G$5:$M$5)))+0.01</f>
        <v/>
      </c>
      <c r="F14" s="7">
        <f>0.98*(('2_指标值'!J5-MIN('2_指标值'!$G$5:$M$5))/(MAX('2_指标值'!$G$5:$M$5)-MIN('2_指标值'!$G$5:$M$5)))+0.01</f>
        <v/>
      </c>
      <c r="G14" s="7">
        <f>0.98*(('2_指标值'!K5-MIN('2_指标值'!$G$5:$M$5))/(MAX('2_指标值'!$G$5:$M$5)-MIN('2_指标值'!$G$5:$M$5)))+0.01</f>
        <v/>
      </c>
      <c r="H14" s="7">
        <f>0.98*(('2_指标值'!L5-MIN('2_指标值'!$G$5:$M$5))/(MAX('2_指标值'!$G$5:$M$5)-MIN('2_指标值'!$G$5:$M$5)))+0.01</f>
        <v/>
      </c>
      <c r="I14" s="7">
        <f>0.98*(('2_指标值'!M5-MIN('2_指标值'!$G$5:$M$5))/(MAX('2_指标值'!$G$5:$M$5)-MIN('2_指标值'!$G$5:$M$5)))+0.01</f>
        <v/>
      </c>
    </row>
    <row r="15">
      <c r="C15" s="21">
        <f>C14-C13</f>
        <v/>
      </c>
      <c r="D15" s="11">
        <f>D14-D13</f>
        <v/>
      </c>
      <c r="E15" s="11">
        <f>E14-E13</f>
        <v/>
      </c>
      <c r="F15" s="11">
        <f>F14-F13</f>
        <v/>
      </c>
      <c r="G15" s="11">
        <f>G14-G13</f>
        <v/>
      </c>
      <c r="H15" s="11">
        <f>H14-H13</f>
        <v/>
      </c>
      <c r="I15" s="11">
        <f>I14-I13</f>
        <v/>
      </c>
    </row>
    <row r="16">
      <c r="A16" s="5" t="inlineStr">
        <is>
          <t>S4</t>
        </is>
      </c>
      <c r="B16" s="5" t="inlineStr">
        <is>
          <t>基本养老保险参保率（%）</t>
        </is>
      </c>
      <c r="C16" s="7">
        <f>0.98*(('2_指标值'!G6-MIN('2_指标值'!$G$6:$P$6))/(MAX('2_指标值'!$G$6:$P$6)-MIN('2_指标值'!$G$6:$P$6)))+0.01</f>
        <v/>
      </c>
      <c r="D16" s="7">
        <f>0.98*(('2_指标值'!H6-MIN('2_指标值'!$G$6:$P$6))/(MAX('2_指标值'!$G$6:$P$6)-MIN('2_指标值'!$G$6:$P$6)))+0.01</f>
        <v/>
      </c>
      <c r="E16" s="7">
        <f>0.98*(('2_指标值'!I6-MIN('2_指标值'!$G$6:$P$6))/(MAX('2_指标值'!$G$6:$P$6)-MIN('2_指标值'!$G$6:$P$6)))+0.01</f>
        <v/>
      </c>
      <c r="F16" s="7">
        <f>0.98*(('2_指标值'!J6-MIN('2_指标值'!$G$6:$P$6))/(MAX('2_指标值'!$G$6:$P$6)-MIN('2_指标值'!$G$6:$P$6)))+0.01</f>
        <v/>
      </c>
      <c r="G16" s="7">
        <f>0.98*(('2_指标值'!K6-MIN('2_指标值'!$G$6:$P$6))/(MAX('2_指标值'!$G$6:$P$6)-MIN('2_指标值'!$G$6:$P$6)))+0.01</f>
        <v/>
      </c>
      <c r="H16" s="7">
        <f>0.98*(('2_指标值'!L6-MIN('2_指标值'!$G$6:$P$6))/(MAX('2_指标值'!$G$6:$P$6)-MIN('2_指标值'!$G$6:$P$6)))+0.01</f>
        <v/>
      </c>
      <c r="I16" s="7">
        <f>0.98*(('2_指标值'!M6-MIN('2_指标值'!$G$6:$P$6))/(MAX('2_指标值'!$G$6:$P$6)-MIN('2_指标值'!$G$6:$P$6)))+0.01</f>
        <v/>
      </c>
    </row>
    <row r="17">
      <c r="A17" s="5" t="inlineStr">
        <is>
          <t>S4</t>
        </is>
      </c>
      <c r="B17" s="5" t="inlineStr">
        <is>
          <t>基本养老保险参保率（%）</t>
        </is>
      </c>
      <c r="C17" s="7">
        <f>0.98*(('2_指标值'!G6-MIN('2_指标值'!$G$6:$M$6))/(MAX('2_指标值'!$G$6:$M$6)-MIN('2_指标值'!$G$6:$M$6)))+0.01</f>
        <v/>
      </c>
      <c r="D17" s="7">
        <f>0.98*(('2_指标值'!H6-MIN('2_指标值'!$G$6:$M$6))/(MAX('2_指标值'!$G$6:$M$6)-MIN('2_指标值'!$G$6:$M$6)))+0.01</f>
        <v/>
      </c>
      <c r="E17" s="7">
        <f>0.98*(('2_指标值'!I6-MIN('2_指标值'!$G$6:$M$6))/(MAX('2_指标值'!$G$6:$M$6)-MIN('2_指标值'!$G$6:$M$6)))+0.01</f>
        <v/>
      </c>
      <c r="F17" s="7">
        <f>0.98*(('2_指标值'!J6-MIN('2_指标值'!$G$6:$M$6))/(MAX('2_指标值'!$G$6:$M$6)-MIN('2_指标值'!$G$6:$M$6)))+0.01</f>
        <v/>
      </c>
      <c r="G17" s="7">
        <f>0.98*(('2_指标值'!K6-MIN('2_指标值'!$G$6:$M$6))/(MAX('2_指标值'!$G$6:$M$6)-MIN('2_指标值'!$G$6:$M$6)))+0.01</f>
        <v/>
      </c>
      <c r="H17" s="7">
        <f>0.98*(('2_指标值'!L6-MIN('2_指标值'!$G$6:$M$6))/(MAX('2_指标值'!$G$6:$M$6)-MIN('2_指标值'!$G$6:$M$6)))+0.01</f>
        <v/>
      </c>
      <c r="I17" s="7">
        <f>0.98*(('2_指标值'!M6-MIN('2_指标值'!$G$6:$M$6))/(MAX('2_指标值'!$G$6:$M$6)-MIN('2_指标值'!$G$6:$M$6)))+0.01</f>
        <v/>
      </c>
    </row>
    <row r="18">
      <c r="C18" s="21">
        <f>C17-C16</f>
        <v/>
      </c>
      <c r="D18" s="11">
        <f>D17-D16</f>
        <v/>
      </c>
      <c r="E18" s="11">
        <f>E17-E16</f>
        <v/>
      </c>
      <c r="F18" s="11">
        <f>F17-F16</f>
        <v/>
      </c>
      <c r="G18" s="11">
        <f>G17-G16</f>
        <v/>
      </c>
      <c r="H18" s="11">
        <f>H17-H16</f>
        <v/>
      </c>
      <c r="I18" s="11">
        <f>I17-I16</f>
        <v/>
      </c>
    </row>
    <row r="19">
      <c r="A19" s="5" t="inlineStr">
        <is>
          <t>D1</t>
        </is>
      </c>
      <c r="B19" s="5" t="inlineStr">
        <is>
          <t>人均GDP相对全国水平（%）</t>
        </is>
      </c>
      <c r="C19" s="7">
        <f>0.98*(('2_指标值'!G7-MIN('2_指标值'!$G$7:$P$7))/(MAX('2_指标值'!$G$7:$P$7)-MIN('2_指标值'!$G$7:$P$7)))+0.01</f>
        <v/>
      </c>
      <c r="D19" s="7">
        <f>0.98*(('2_指标值'!H7-MIN('2_指标值'!$G$7:$P$7))/(MAX('2_指标值'!$G$7:$P$7)-MIN('2_指标值'!$G$7:$P$7)))+0.01</f>
        <v/>
      </c>
      <c r="E19" s="7">
        <f>0.98*(('2_指标值'!I7-MIN('2_指标值'!$G$7:$P$7))/(MAX('2_指标值'!$G$7:$P$7)-MIN('2_指标值'!$G$7:$P$7)))+0.01</f>
        <v/>
      </c>
      <c r="F19" s="7">
        <f>0.98*(('2_指标值'!J7-MIN('2_指标值'!$G$7:$P$7))/(MAX('2_指标值'!$G$7:$P$7)-MIN('2_指标值'!$G$7:$P$7)))+0.01</f>
        <v/>
      </c>
      <c r="G19" s="7">
        <f>0.98*(('2_指标值'!K7-MIN('2_指标值'!$G$7:$P$7))/(MAX('2_指标值'!$G$7:$P$7)-MIN('2_指标值'!$G$7:$P$7)))+0.01</f>
        <v/>
      </c>
      <c r="H19" s="7">
        <f>0.98*(('2_指标值'!L7-MIN('2_指标值'!$G$7:$P$7))/(MAX('2_指标值'!$G$7:$P$7)-MIN('2_指标值'!$G$7:$P$7)))+0.01</f>
        <v/>
      </c>
      <c r="I19" s="7">
        <f>0.98*(('2_指标值'!M7-MIN('2_指标值'!$G$7:$P$7))/(MAX('2_指标值'!$G$7:$P$7)-MIN('2_指标值'!$G$7:$P$7)))+0.01</f>
        <v/>
      </c>
    </row>
    <row r="20">
      <c r="A20" s="5" t="inlineStr">
        <is>
          <t>D1</t>
        </is>
      </c>
      <c r="B20" s="5" t="inlineStr">
        <is>
          <t>人均GDP相对全国水平（%）</t>
        </is>
      </c>
      <c r="C20" s="7">
        <f>0.98*(('2_指标值'!G7-MIN('2_指标值'!$G$7:$M$7))/(MAX('2_指标值'!$G$7:$M$7)-MIN('2_指标值'!$G$7:$M$7)))+0.01</f>
        <v/>
      </c>
      <c r="D20" s="7">
        <f>0.98*(('2_指标值'!H7-MIN('2_指标值'!$G$7:$M$7))/(MAX('2_指标值'!$G$7:$M$7)-MIN('2_指标值'!$G$7:$M$7)))+0.01</f>
        <v/>
      </c>
      <c r="E20" s="7">
        <f>0.98*(('2_指标值'!I7-MIN('2_指标值'!$G$7:$M$7))/(MAX('2_指标值'!$G$7:$M$7)-MIN('2_指标值'!$G$7:$M$7)))+0.01</f>
        <v/>
      </c>
      <c r="F20" s="7">
        <f>0.98*(('2_指标值'!J7-MIN('2_指标值'!$G$7:$M$7))/(MAX('2_指标值'!$G$7:$M$7)-MIN('2_指标值'!$G$7:$M$7)))+0.01</f>
        <v/>
      </c>
      <c r="G20" s="7">
        <f>0.98*(('2_指标值'!K7-MIN('2_指标值'!$G$7:$M$7))/(MAX('2_指标值'!$G$7:$M$7)-MIN('2_指标值'!$G$7:$M$7)))+0.01</f>
        <v/>
      </c>
      <c r="H20" s="7">
        <f>0.98*(('2_指标值'!L7-MIN('2_指标值'!$G$7:$M$7))/(MAX('2_指标值'!$G$7:$M$7)-MIN('2_指标值'!$G$7:$M$7)))+0.01</f>
        <v/>
      </c>
      <c r="I20" s="7">
        <f>0.98*(('2_指标值'!M7-MIN('2_指标值'!$G$7:$M$7))/(MAX('2_指标值'!$G$7:$M$7)-MIN('2_指标值'!$G$7:$M$7)))+0.01</f>
        <v/>
      </c>
    </row>
    <row r="21">
      <c r="C21" s="21">
        <f>C20-C19</f>
        <v/>
      </c>
      <c r="D21" s="11">
        <f>D20-D19</f>
        <v/>
      </c>
      <c r="E21" s="11">
        <f>E20-E19</f>
        <v/>
      </c>
      <c r="F21" s="11">
        <f>F20-F19</f>
        <v/>
      </c>
      <c r="G21" s="11">
        <f>G20-G19</f>
        <v/>
      </c>
      <c r="H21" s="11">
        <f>H20-H19</f>
        <v/>
      </c>
      <c r="I21" s="11">
        <f>I20-I19</f>
        <v/>
      </c>
    </row>
    <row r="22">
      <c r="A22" s="5" t="inlineStr">
        <is>
          <t>D2</t>
        </is>
      </c>
      <c r="B22" s="5" t="inlineStr">
        <is>
          <t>农村居民人均收入相对全国水平（%）</t>
        </is>
      </c>
      <c r="C22" s="7">
        <f>0.98*(('2_指标值'!G8-MIN('2_指标值'!$G$8:$P$8))/(MAX('2_指标值'!$G$8:$P$8)-MIN('2_指标值'!$G$8:$P$8)))+0.01</f>
        <v/>
      </c>
      <c r="D22" s="7">
        <f>0.98*(('2_指标值'!H8-MIN('2_指标值'!$G$8:$P$8))/(MAX('2_指标值'!$G$8:$P$8)-MIN('2_指标值'!$G$8:$P$8)))+0.01</f>
        <v/>
      </c>
      <c r="E22" s="7">
        <f>0.98*(('2_指标值'!I8-MIN('2_指标值'!$G$8:$P$8))/(MAX('2_指标值'!$G$8:$P$8)-MIN('2_指标值'!$G$8:$P$8)))+0.01</f>
        <v/>
      </c>
      <c r="F22" s="7">
        <f>0.98*(('2_指标值'!J8-MIN('2_指标值'!$G$8:$P$8))/(MAX('2_指标值'!$G$8:$P$8)-MIN('2_指标值'!$G$8:$P$8)))+0.01</f>
        <v/>
      </c>
      <c r="G22" s="7">
        <f>0.98*(('2_指标值'!K8-MIN('2_指标值'!$G$8:$P$8))/(MAX('2_指标值'!$G$8:$P$8)-MIN('2_指标值'!$G$8:$P$8)))+0.01</f>
        <v/>
      </c>
      <c r="H22" s="7">
        <f>0.98*(('2_指标值'!L8-MIN('2_指标值'!$G$8:$P$8))/(MAX('2_指标值'!$G$8:$P$8)-MIN('2_指标值'!$G$8:$P$8)))+0.01</f>
        <v/>
      </c>
      <c r="I22" s="7">
        <f>0.98*(('2_指标值'!M8-MIN('2_指标值'!$G$8:$P$8))/(MAX('2_指标值'!$G$8:$P$8)-MIN('2_指标值'!$G$8:$P$8)))+0.01</f>
        <v/>
      </c>
    </row>
    <row r="23">
      <c r="A23" s="5" t="inlineStr">
        <is>
          <t>D2</t>
        </is>
      </c>
      <c r="B23" s="5" t="inlineStr">
        <is>
          <t>农村居民人均收入相对全国水平（%）</t>
        </is>
      </c>
      <c r="C23" s="7">
        <f>0.98*(('2_指标值'!G8-MIN('2_指标值'!$G$8:$M$8))/(MAX('2_指标值'!$G$8:$M$8)-MIN('2_指标值'!$G$8:$M$8)))+0.01</f>
        <v/>
      </c>
      <c r="D23" s="7">
        <f>0.98*(('2_指标值'!H8-MIN('2_指标值'!$G$8:$M$8))/(MAX('2_指标值'!$G$8:$M$8)-MIN('2_指标值'!$G$8:$M$8)))+0.01</f>
        <v/>
      </c>
      <c r="E23" s="7">
        <f>0.98*(('2_指标值'!I8-MIN('2_指标值'!$G$8:$M$8))/(MAX('2_指标值'!$G$8:$M$8)-MIN('2_指标值'!$G$8:$M$8)))+0.01</f>
        <v/>
      </c>
      <c r="F23" s="7">
        <f>0.98*(('2_指标值'!J8-MIN('2_指标值'!$G$8:$M$8))/(MAX('2_指标值'!$G$8:$M$8)-MIN('2_指标值'!$G$8:$M$8)))+0.01</f>
        <v/>
      </c>
      <c r="G23" s="7">
        <f>0.98*(('2_指标值'!K8-MIN('2_指标值'!$G$8:$M$8))/(MAX('2_指标值'!$G$8:$M$8)-MIN('2_指标值'!$G$8:$M$8)))+0.01</f>
        <v/>
      </c>
      <c r="H23" s="7">
        <f>0.98*(('2_指标值'!L8-MIN('2_指标值'!$G$8:$M$8))/(MAX('2_指标值'!$G$8:$M$8)-MIN('2_指标值'!$G$8:$M$8)))+0.01</f>
        <v/>
      </c>
      <c r="I23" s="7">
        <f>0.98*(('2_指标值'!M8-MIN('2_指标值'!$G$8:$M$8))/(MAX('2_指标值'!$G$8:$M$8)-MIN('2_指标值'!$G$8:$M$8)))+0.01</f>
        <v/>
      </c>
    </row>
    <row r="24">
      <c r="C24" s="21">
        <f>C23-C22</f>
        <v/>
      </c>
      <c r="D24" s="11">
        <f>D23-D22</f>
        <v/>
      </c>
      <c r="E24" s="11">
        <f>E23-E22</f>
        <v/>
      </c>
      <c r="F24" s="11">
        <f>F23-F22</f>
        <v/>
      </c>
      <c r="G24" s="11">
        <f>G23-G22</f>
        <v/>
      </c>
      <c r="H24" s="11">
        <f>H23-H22</f>
        <v/>
      </c>
      <c r="I24" s="11">
        <f>I23-I22</f>
        <v/>
      </c>
    </row>
    <row r="25">
      <c r="A25" s="5" t="inlineStr">
        <is>
          <t>D3</t>
        </is>
      </c>
      <c r="B25" s="5" t="inlineStr">
        <is>
          <t>外向度（进出口总额/GDP，%）</t>
        </is>
      </c>
      <c r="C25" s="7">
        <f>0.98*(('2_指标值'!G9-MIN('2_指标值'!$G$9:$P$9))/(MAX('2_指标值'!$G$9:$P$9)-MIN('2_指标值'!$G$9:$P$9)))+0.01</f>
        <v/>
      </c>
      <c r="D25" s="7">
        <f>0.98*(('2_指标值'!H9-MIN('2_指标值'!$G$9:$P$9))/(MAX('2_指标值'!$G$9:$P$9)-MIN('2_指标值'!$G$9:$P$9)))+0.01</f>
        <v/>
      </c>
      <c r="E25" s="7">
        <f>0.98*(('2_指标值'!I9-MIN('2_指标值'!$G$9:$P$9))/(MAX('2_指标值'!$G$9:$P$9)-MIN('2_指标值'!$G$9:$P$9)))+0.01</f>
        <v/>
      </c>
      <c r="F25" s="7">
        <f>0.98*(('2_指标值'!J9-MIN('2_指标值'!$G$9:$P$9))/(MAX('2_指标值'!$G$9:$P$9)-MIN('2_指标值'!$G$9:$P$9)))+0.01</f>
        <v/>
      </c>
      <c r="G25" s="7">
        <f>0.98*(('2_指标值'!K9-MIN('2_指标值'!$G$9:$P$9))/(MAX('2_指标值'!$G$9:$P$9)-MIN('2_指标值'!$G$9:$P$9)))+0.01</f>
        <v/>
      </c>
      <c r="H25" s="7">
        <f>0.98*(('2_指标值'!L9-MIN('2_指标值'!$G$9:$P$9))/(MAX('2_指标值'!$G$9:$P$9)-MIN('2_指标值'!$G$9:$P$9)))+0.01</f>
        <v/>
      </c>
      <c r="I25" s="7">
        <f>0.98*(('2_指标值'!M9-MIN('2_指标值'!$G$9:$P$9))/(MAX('2_指标值'!$G$9:$P$9)-MIN('2_指标值'!$G$9:$P$9)))+0.01</f>
        <v/>
      </c>
    </row>
    <row r="26">
      <c r="A26" s="5" t="inlineStr">
        <is>
          <t>D3</t>
        </is>
      </c>
      <c r="B26" s="5" t="inlineStr">
        <is>
          <t>外向度（进出口总额/GDP，%）</t>
        </is>
      </c>
      <c r="C26" s="7">
        <f>0.98*(('2_指标值'!G9-MIN('2_指标值'!$G$9:$M$9))/(MAX('2_指标值'!$G$9:$M$9)-MIN('2_指标值'!$G$9:$M$9)))+0.01</f>
        <v/>
      </c>
      <c r="D26" s="7">
        <f>0.98*(('2_指标值'!H9-MIN('2_指标值'!$G$9:$M$9))/(MAX('2_指标值'!$G$9:$M$9)-MIN('2_指标值'!$G$9:$M$9)))+0.01</f>
        <v/>
      </c>
      <c r="E26" s="7">
        <f>0.98*(('2_指标值'!I9-MIN('2_指标值'!$G$9:$M$9))/(MAX('2_指标值'!$G$9:$M$9)-MIN('2_指标值'!$G$9:$M$9)))+0.01</f>
        <v/>
      </c>
      <c r="F26" s="7">
        <f>0.98*(('2_指标值'!J9-MIN('2_指标值'!$G$9:$M$9))/(MAX('2_指标值'!$G$9:$M$9)-MIN('2_指标值'!$G$9:$M$9)))+0.01</f>
        <v/>
      </c>
      <c r="G26" s="7">
        <f>0.98*(('2_指标值'!K9-MIN('2_指标值'!$G$9:$M$9))/(MAX('2_指标值'!$G$9:$M$9)-MIN('2_指标值'!$G$9:$M$9)))+0.01</f>
        <v/>
      </c>
      <c r="H26" s="7">
        <f>0.98*(('2_指标值'!L9-MIN('2_指标值'!$G$9:$M$9))/(MAX('2_指标值'!$G$9:$M$9)-MIN('2_指标值'!$G$9:$M$9)))+0.01</f>
        <v/>
      </c>
      <c r="I26" s="7">
        <f>0.98*(('2_指标值'!M9-MIN('2_指标值'!$G$9:$M$9))/(MAX('2_指标值'!$G$9:$M$9)-MIN('2_指标值'!$G$9:$M$9)))+0.01</f>
        <v/>
      </c>
    </row>
    <row r="27">
      <c r="C27" s="21">
        <f>C26-C25</f>
        <v/>
      </c>
      <c r="D27" s="11">
        <f>D26-D25</f>
        <v/>
      </c>
      <c r="E27" s="11">
        <f>E26-E25</f>
        <v/>
      </c>
      <c r="F27" s="11">
        <f>F26-F25</f>
        <v/>
      </c>
      <c r="G27" s="11">
        <f>G26-G25</f>
        <v/>
      </c>
      <c r="H27" s="11">
        <f>H26-H25</f>
        <v/>
      </c>
      <c r="I27" s="11">
        <f>I26-I25</f>
        <v/>
      </c>
    </row>
    <row r="28">
      <c r="A28" s="5" t="inlineStr">
        <is>
          <t>D4</t>
        </is>
      </c>
      <c r="B28" s="5" t="inlineStr">
        <is>
          <t>人均接待游客（万人次/万人）</t>
        </is>
      </c>
      <c r="C28" s="7">
        <f>0.98*(('2_指标值'!G10-MIN('2_指标值'!$G$10:$P$10))/(MAX('2_指标值'!$G$10:$P$10)-MIN('2_指标值'!$G$10:$P$10)))+0.01</f>
        <v/>
      </c>
      <c r="D28" s="7">
        <f>0.98*(('2_指标值'!H10-MIN('2_指标值'!$G$10:$P$10))/(MAX('2_指标值'!$G$10:$P$10)-MIN('2_指标值'!$G$10:$P$10)))+0.01</f>
        <v/>
      </c>
      <c r="E28" s="7">
        <f>0.98*(('2_指标值'!I10-MIN('2_指标值'!$G$10:$P$10))/(MAX('2_指标值'!$G$10:$P$10)-MIN('2_指标值'!$G$10:$P$10)))+0.01</f>
        <v/>
      </c>
      <c r="F28" s="7">
        <f>0.98*(('2_指标值'!J10-MIN('2_指标值'!$G$10:$P$10))/(MAX('2_指标值'!$G$10:$P$10)-MIN('2_指标值'!$G$10:$P$10)))+0.01</f>
        <v/>
      </c>
      <c r="G28" s="7">
        <f>0.98*(('2_指标值'!K10-MIN('2_指标值'!$G$10:$P$10))/(MAX('2_指标值'!$G$10:$P$10)-MIN('2_指标值'!$G$10:$P$10)))+0.01</f>
        <v/>
      </c>
      <c r="H28" s="7">
        <f>0.98*(('2_指标值'!L10-MIN('2_指标值'!$G$10:$P$10))/(MAX('2_指标值'!$G$10:$P$10)-MIN('2_指标值'!$G$10:$P$10)))+0.01</f>
        <v/>
      </c>
      <c r="I28" s="7">
        <f>0.98*(('2_指标值'!M10-MIN('2_指标值'!$G$10:$P$10))/(MAX('2_指标值'!$G$10:$P$10)-MIN('2_指标值'!$G$10:$P$10)))+0.01</f>
        <v/>
      </c>
    </row>
    <row r="29">
      <c r="A29" s="5" t="inlineStr">
        <is>
          <t>D4</t>
        </is>
      </c>
      <c r="B29" s="5" t="inlineStr">
        <is>
          <t>人均接待游客（万人次/万人）</t>
        </is>
      </c>
      <c r="C29" s="7">
        <f>0.98*(('2_指标值'!G10-MIN('2_指标值'!$G$10:$M$10))/(MAX('2_指标值'!$G$10:$M$10)-MIN('2_指标值'!$G$10:$M$10)))+0.01</f>
        <v/>
      </c>
      <c r="D29" s="7">
        <f>0.98*(('2_指标值'!H10-MIN('2_指标值'!$G$10:$M$10))/(MAX('2_指标值'!$G$10:$M$10)-MIN('2_指标值'!$G$10:$M$10)))+0.01</f>
        <v/>
      </c>
      <c r="E29" s="7">
        <f>0.98*(('2_指标值'!I10-MIN('2_指标值'!$G$10:$M$10))/(MAX('2_指标值'!$G$10:$M$10)-MIN('2_指标值'!$G$10:$M$10)))+0.01</f>
        <v/>
      </c>
      <c r="F29" s="7">
        <f>0.98*(('2_指标值'!J10-MIN('2_指标值'!$G$10:$M$10))/(MAX('2_指标值'!$G$10:$M$10)-MIN('2_指标值'!$G$10:$M$10)))+0.01</f>
        <v/>
      </c>
      <c r="G29" s="7">
        <f>0.98*(('2_指标值'!K10-MIN('2_指标值'!$G$10:$M$10))/(MAX('2_指标值'!$G$10:$M$10)-MIN('2_指标值'!$G$10:$M$10)))+0.01</f>
        <v/>
      </c>
      <c r="H29" s="7">
        <f>0.98*(('2_指标值'!L10-MIN('2_指标值'!$G$10:$M$10))/(MAX('2_指标值'!$G$10:$M$10)-MIN('2_指标值'!$G$10:$M$10)))+0.01</f>
        <v/>
      </c>
      <c r="I29" s="7">
        <f>0.98*(('2_指标值'!M10-MIN('2_指标值'!$G$10:$M$10))/(MAX('2_指标值'!$G$10:$M$10)-MIN('2_指标值'!$G$10:$M$10)))+0.01</f>
        <v/>
      </c>
    </row>
    <row r="30">
      <c r="C30" s="21">
        <f>C29-C28</f>
        <v/>
      </c>
      <c r="D30" s="11">
        <f>D29-D28</f>
        <v/>
      </c>
      <c r="E30" s="11">
        <f>E29-E28</f>
        <v/>
      </c>
      <c r="F30" s="11">
        <f>F29-F28</f>
        <v/>
      </c>
      <c r="G30" s="11">
        <f>G29-G28</f>
        <v/>
      </c>
      <c r="H30" s="11">
        <f>H29-H28</f>
        <v/>
      </c>
      <c r="I30" s="11">
        <f>I29-I28</f>
        <v/>
      </c>
    </row>
    <row r="31">
      <c r="A31" s="5" t="inlineStr">
        <is>
          <t>D5</t>
        </is>
      </c>
      <c r="B31" s="5" t="inlineStr">
        <is>
          <t>发电量（亿千瓦时）</t>
        </is>
      </c>
      <c r="C31" s="7">
        <f>0.98*(('2_指标值'!G11-MIN('2_指标值'!$G$11:$P$11))/(MAX('2_指标值'!$G$11:$P$11)-MIN('2_指标值'!$G$11:$P$11)))+0.01</f>
        <v/>
      </c>
      <c r="D31" s="7">
        <f>0.98*(('2_指标值'!H11-MIN('2_指标值'!$G$11:$P$11))/(MAX('2_指标值'!$G$11:$P$11)-MIN('2_指标值'!$G$11:$P$11)))+0.01</f>
        <v/>
      </c>
      <c r="E31" s="7">
        <f>0.98*(('2_指标值'!I11-MIN('2_指标值'!$G$11:$P$11))/(MAX('2_指标值'!$G$11:$P$11)-MIN('2_指标值'!$G$11:$P$11)))+0.01</f>
        <v/>
      </c>
      <c r="F31" s="7">
        <f>0.98*(('2_指标值'!J11-MIN('2_指标值'!$G$11:$P$11))/(MAX('2_指标值'!$G$11:$P$11)-MIN('2_指标值'!$G$11:$P$11)))+0.01</f>
        <v/>
      </c>
      <c r="G31" s="7">
        <f>0.98*(('2_指标值'!K11-MIN('2_指标值'!$G$11:$P$11))/(MAX('2_指标值'!$G$11:$P$11)-MIN('2_指标值'!$G$11:$P$11)))+0.01</f>
        <v/>
      </c>
      <c r="H31" s="7">
        <f>0.98*(('2_指标值'!L11-MIN('2_指标值'!$G$11:$P$11))/(MAX('2_指标值'!$G$11:$P$11)-MIN('2_指标值'!$G$11:$P$11)))+0.01</f>
        <v/>
      </c>
      <c r="I31" s="7">
        <f>0.98*(('2_指标值'!M11-MIN('2_指标值'!$G$11:$P$11))/(MAX('2_指标值'!$G$11:$P$11)-MIN('2_指标值'!$G$11:$P$11)))+0.01</f>
        <v/>
      </c>
    </row>
    <row r="32">
      <c r="A32" s="5" t="inlineStr">
        <is>
          <t>D5</t>
        </is>
      </c>
      <c r="B32" s="5" t="inlineStr">
        <is>
          <t>发电量（亿千瓦时）</t>
        </is>
      </c>
      <c r="C32" s="7">
        <f>0.98*(('2_指标值'!G11-MIN('2_指标值'!$G$11:$M$11))/(MAX('2_指标值'!$G$11:$M$11)-MIN('2_指标值'!$G$11:$M$11)))+0.01</f>
        <v/>
      </c>
      <c r="D32" s="7">
        <f>0.98*(('2_指标值'!H11-MIN('2_指标值'!$G$11:$M$11))/(MAX('2_指标值'!$G$11:$M$11)-MIN('2_指标值'!$G$11:$M$11)))+0.01</f>
        <v/>
      </c>
      <c r="E32" s="7">
        <f>0.98*(('2_指标值'!I11-MIN('2_指标值'!$G$11:$M$11))/(MAX('2_指标值'!$G$11:$M$11)-MIN('2_指标值'!$G$11:$M$11)))+0.01</f>
        <v/>
      </c>
      <c r="F32" s="7">
        <f>0.98*(('2_指标值'!J11-MIN('2_指标值'!$G$11:$M$11))/(MAX('2_指标值'!$G$11:$M$11)-MIN('2_指标值'!$G$11:$M$11)))+0.01</f>
        <v/>
      </c>
      <c r="G32" s="7">
        <f>0.98*(('2_指标值'!K11-MIN('2_指标值'!$G$11:$M$11))/(MAX('2_指标值'!$G$11:$M$11)-MIN('2_指标值'!$G$11:$M$11)))+0.01</f>
        <v/>
      </c>
      <c r="H32" s="7">
        <f>0.98*(('2_指标值'!L11-MIN('2_指标值'!$G$11:$M$11))/(MAX('2_指标值'!$G$11:$M$11)-MIN('2_指标值'!$G$11:$M$11)))+0.01</f>
        <v/>
      </c>
      <c r="I32" s="7">
        <f>0.98*(('2_指标值'!M11-MIN('2_指标值'!$G$11:$M$11))/(MAX('2_指标值'!$G$11:$M$11)-MIN('2_指标值'!$G$11:$M$11)))+0.01</f>
        <v/>
      </c>
    </row>
    <row r="33">
      <c r="C33" s="21">
        <f>C32-C31</f>
        <v/>
      </c>
      <c r="D33" s="11">
        <f>D32-D31</f>
        <v/>
      </c>
      <c r="E33" s="11">
        <f>E32-E31</f>
        <v/>
      </c>
      <c r="F33" s="11">
        <f>F32-F31</f>
        <v/>
      </c>
      <c r="G33" s="11">
        <f>G32-G31</f>
        <v/>
      </c>
      <c r="H33" s="11">
        <f>H32-H31</f>
        <v/>
      </c>
      <c r="I33" s="11">
        <f>I32-I31</f>
        <v/>
      </c>
    </row>
    <row r="34">
      <c r="A34" s="5" t="inlineStr">
        <is>
          <t>E1</t>
        </is>
      </c>
      <c r="B34" s="5" t="inlineStr">
        <is>
          <t>单位GDP能耗指数</t>
        </is>
      </c>
      <c r="C34" s="7">
        <f>0.98*((MAX('2_指标值'!$G$12:$P$12)-'2_指标值'!G12)/(MAX('2_指标值'!$G$12:$P$12)-MIN('2_指标值'!$G$12:$P$12)))+0.01</f>
        <v/>
      </c>
      <c r="D34" s="7">
        <f>0.98*((MAX('2_指标值'!$G$12:$P$12)-'2_指标值'!H12)/(MAX('2_指标值'!$G$12:$P$12)-MIN('2_指标值'!$G$12:$P$12)))+0.01</f>
        <v/>
      </c>
      <c r="E34" s="7">
        <f>0.98*((MAX('2_指标值'!$G$12:$P$12)-'2_指标值'!I12)/(MAX('2_指标值'!$G$12:$P$12)-MIN('2_指标值'!$G$12:$P$12)))+0.01</f>
        <v/>
      </c>
      <c r="F34" s="7">
        <f>0.98*((MAX('2_指标值'!$G$12:$P$12)-'2_指标值'!J12)/(MAX('2_指标值'!$G$12:$P$12)-MIN('2_指标值'!$G$12:$P$12)))+0.01</f>
        <v/>
      </c>
      <c r="G34" s="7">
        <f>0.98*((MAX('2_指标值'!$G$12:$P$12)-'2_指标值'!K12)/(MAX('2_指标值'!$G$12:$P$12)-MIN('2_指标值'!$G$12:$P$12)))+0.01</f>
        <v/>
      </c>
      <c r="H34" s="7">
        <f>0.98*((MAX('2_指标值'!$G$12:$P$12)-'2_指标值'!L12)/(MAX('2_指标值'!$G$12:$P$12)-MIN('2_指标值'!$G$12:$P$12)))+0.01</f>
        <v/>
      </c>
      <c r="I34" s="7">
        <f>0.98*((MAX('2_指标值'!$G$12:$P$12)-'2_指标值'!M12)/(MAX('2_指标值'!$G$12:$P$12)-MIN('2_指标值'!$G$12:$P$12)))+0.01</f>
        <v/>
      </c>
    </row>
    <row r="35">
      <c r="A35" s="5" t="inlineStr">
        <is>
          <t>E1</t>
        </is>
      </c>
      <c r="B35" s="5" t="inlineStr">
        <is>
          <t>单位GDP能耗指数</t>
        </is>
      </c>
      <c r="C35" s="7">
        <f>0.98*((MAX('2_指标值'!$G$12:$M$12)-'2_指标值'!G12)/(MAX('2_指标值'!$G$12:$M$12)-MIN('2_指标值'!$G$12:$M$12)))+0.01</f>
        <v/>
      </c>
      <c r="D35" s="7">
        <f>0.98*((MAX('2_指标值'!$G$12:$M$12)-'2_指标值'!H12)/(MAX('2_指标值'!$G$12:$M$12)-MIN('2_指标值'!$G$12:$M$12)))+0.01</f>
        <v/>
      </c>
      <c r="E35" s="7">
        <f>0.98*((MAX('2_指标值'!$G$12:$M$12)-'2_指标值'!I12)/(MAX('2_指标值'!$G$12:$M$12)-MIN('2_指标值'!$G$12:$M$12)))+0.01</f>
        <v/>
      </c>
      <c r="F35" s="7">
        <f>0.98*((MAX('2_指标值'!$G$12:$M$12)-'2_指标值'!J12)/(MAX('2_指标值'!$G$12:$M$12)-MIN('2_指标值'!$G$12:$M$12)))+0.01</f>
        <v/>
      </c>
      <c r="G35" s="7">
        <f>0.98*((MAX('2_指标值'!$G$12:$M$12)-'2_指标值'!K12)/(MAX('2_指标值'!$G$12:$M$12)-MIN('2_指标值'!$G$12:$M$12)))+0.01</f>
        <v/>
      </c>
      <c r="H35" s="7">
        <f>0.98*((MAX('2_指标值'!$G$12:$M$12)-'2_指标值'!L12)/(MAX('2_指标值'!$G$12:$M$12)-MIN('2_指标值'!$G$12:$M$12)))+0.01</f>
        <v/>
      </c>
      <c r="I35" s="7">
        <f>0.98*((MAX('2_指标值'!$G$12:$M$12)-'2_指标值'!M12)/(MAX('2_指标值'!$G$12:$M$12)-MIN('2_指标值'!$G$12:$M$12)))+0.01</f>
        <v/>
      </c>
    </row>
    <row r="36">
      <c r="C36" s="21">
        <f>C35-C34</f>
        <v/>
      </c>
      <c r="D36" s="11">
        <f>D35-D34</f>
        <v/>
      </c>
      <c r="E36" s="11">
        <f>E35-E34</f>
        <v/>
      </c>
      <c r="F36" s="11">
        <f>F35-F34</f>
        <v/>
      </c>
      <c r="G36" s="11">
        <f>G35-G34</f>
        <v/>
      </c>
      <c r="H36" s="11">
        <f>H35-H34</f>
        <v/>
      </c>
      <c r="I36" s="11">
        <f>I35-I34</f>
        <v/>
      </c>
    </row>
    <row r="37">
      <c r="A37" s="5" t="inlineStr">
        <is>
          <t>E2</t>
        </is>
      </c>
      <c r="B37" s="5" t="inlineStr">
        <is>
          <t>森林覆盖率（%）</t>
        </is>
      </c>
      <c r="C37" s="7">
        <f>0.98*(('2_指标值'!G13-MIN('2_指标值'!$G$13:$P$13))/(MAX('2_指标值'!$G$13:$P$13)-MIN('2_指标值'!$G$13:$P$13)))+0.01</f>
        <v/>
      </c>
      <c r="D37" s="7">
        <f>0.98*(('2_指标值'!H13-MIN('2_指标值'!$G$13:$P$13))/(MAX('2_指标值'!$G$13:$P$13)-MIN('2_指标值'!$G$13:$P$13)))+0.01</f>
        <v/>
      </c>
      <c r="E37" s="7">
        <f>0.98*(('2_指标值'!I13-MIN('2_指标值'!$G$13:$P$13))/(MAX('2_指标值'!$G$13:$P$13)-MIN('2_指标值'!$G$13:$P$13)))+0.01</f>
        <v/>
      </c>
      <c r="F37" s="7">
        <f>0.98*(('2_指标值'!J13-MIN('2_指标值'!$G$13:$P$13))/(MAX('2_指标值'!$G$13:$P$13)-MIN('2_指标值'!$G$13:$P$13)))+0.01</f>
        <v/>
      </c>
      <c r="G37" s="7">
        <f>0.98*(('2_指标值'!K13-MIN('2_指标值'!$G$13:$P$13))/(MAX('2_指标值'!$G$13:$P$13)-MIN('2_指标值'!$G$13:$P$13)))+0.01</f>
        <v/>
      </c>
      <c r="H37" s="7">
        <f>0.98*(('2_指标值'!L13-MIN('2_指标值'!$G$13:$P$13))/(MAX('2_指标值'!$G$13:$P$13)-MIN('2_指标值'!$G$13:$P$13)))+0.01</f>
        <v/>
      </c>
      <c r="I37" s="7">
        <f>0.98*(('2_指标值'!M13-MIN('2_指标值'!$G$13:$P$13))/(MAX('2_指标值'!$G$13:$P$13)-MIN('2_指标值'!$G$13:$P$13)))+0.01</f>
        <v/>
      </c>
    </row>
    <row r="38">
      <c r="A38" s="5" t="inlineStr">
        <is>
          <t>E2</t>
        </is>
      </c>
      <c r="B38" s="5" t="inlineStr">
        <is>
          <t>森林覆盖率（%）</t>
        </is>
      </c>
      <c r="C38" s="7">
        <f>0.98*(('2_指标值'!G13-MIN('2_指标值'!$G$13:$M$13))/(MAX('2_指标值'!$G$13:$M$13)-MIN('2_指标值'!$G$13:$M$13)))+0.01</f>
        <v/>
      </c>
      <c r="D38" s="7">
        <f>0.98*(('2_指标值'!H13-MIN('2_指标值'!$G$13:$M$13))/(MAX('2_指标值'!$G$13:$M$13)-MIN('2_指标值'!$G$13:$M$13)))+0.01</f>
        <v/>
      </c>
      <c r="E38" s="7">
        <f>0.98*(('2_指标值'!I13-MIN('2_指标值'!$G$13:$M$13))/(MAX('2_指标值'!$G$13:$M$13)-MIN('2_指标值'!$G$13:$M$13)))+0.01</f>
        <v/>
      </c>
      <c r="F38" s="7">
        <f>0.98*(('2_指标值'!J13-MIN('2_指标值'!$G$13:$M$13))/(MAX('2_指标值'!$G$13:$M$13)-MIN('2_指标值'!$G$13:$M$13)))+0.01</f>
        <v/>
      </c>
      <c r="G38" s="7">
        <f>0.98*(('2_指标值'!K13-MIN('2_指标值'!$G$13:$M$13))/(MAX('2_指标值'!$G$13:$M$13)-MIN('2_指标值'!$G$13:$M$13)))+0.01</f>
        <v/>
      </c>
      <c r="H38" s="7">
        <f>0.98*(('2_指标值'!L13-MIN('2_指标值'!$G$13:$M$13))/(MAX('2_指标值'!$G$13:$M$13)-MIN('2_指标值'!$G$13:$M$13)))+0.01</f>
        <v/>
      </c>
      <c r="I38" s="7">
        <f>0.98*(('2_指标值'!M13-MIN('2_指标值'!$G$13:$M$13))/(MAX('2_指标值'!$G$13:$M$13)-MIN('2_指标值'!$G$13:$M$13)))+0.01</f>
        <v/>
      </c>
    </row>
    <row r="39">
      <c r="C39" s="21">
        <f>C38-C37</f>
        <v/>
      </c>
      <c r="D39" s="11">
        <f>D38-D37</f>
        <v/>
      </c>
      <c r="E39" s="11">
        <f>E38-E37</f>
        <v/>
      </c>
      <c r="F39" s="11">
        <f>F38-F37</f>
        <v/>
      </c>
      <c r="G39" s="11">
        <f>G38-G37</f>
        <v/>
      </c>
      <c r="H39" s="11">
        <f>H38-H37</f>
        <v/>
      </c>
      <c r="I39" s="11">
        <f>I38-I37</f>
        <v/>
      </c>
    </row>
    <row r="40">
      <c r="A40" s="5" t="inlineStr">
        <is>
          <t>E3</t>
        </is>
      </c>
      <c r="B40" s="5" t="inlineStr">
        <is>
          <t>空气质量优良天数比例（%）</t>
        </is>
      </c>
      <c r="C40" s="7">
        <f>0.98*(('2_指标值'!G14-MIN('2_指标值'!$G$14:$P$14))/(MAX('2_指标值'!$G$14:$P$14)-MIN('2_指标值'!$G$14:$P$14)))+0.01</f>
        <v/>
      </c>
      <c r="D40" s="7">
        <f>0.98*(('2_指标值'!H14-MIN('2_指标值'!$G$14:$P$14))/(MAX('2_指标值'!$G$14:$P$14)-MIN('2_指标值'!$G$14:$P$14)))+0.01</f>
        <v/>
      </c>
      <c r="E40" s="7">
        <f>0.98*(('2_指标值'!I14-MIN('2_指标值'!$G$14:$P$14))/(MAX('2_指标值'!$G$14:$P$14)-MIN('2_指标值'!$G$14:$P$14)))+0.01</f>
        <v/>
      </c>
      <c r="F40" s="7">
        <f>0.98*(('2_指标值'!J14-MIN('2_指标值'!$G$14:$P$14))/(MAX('2_指标值'!$G$14:$P$14)-MIN('2_指标值'!$G$14:$P$14)))+0.01</f>
        <v/>
      </c>
      <c r="G40" s="7">
        <f>0.98*(('2_指标值'!K14-MIN('2_指标值'!$G$14:$P$14))/(MAX('2_指标值'!$G$14:$P$14)-MIN('2_指标值'!$G$14:$P$14)))+0.01</f>
        <v/>
      </c>
      <c r="H40" s="7">
        <f>0.98*(('2_指标值'!L14-MIN('2_指标值'!$G$14:$P$14))/(MAX('2_指标值'!$G$14:$P$14)-MIN('2_指标值'!$G$14:$P$14)))+0.01</f>
        <v/>
      </c>
      <c r="I40" s="7">
        <f>0.98*(('2_指标值'!M14-MIN('2_指标值'!$G$14:$P$14))/(MAX('2_指标值'!$G$14:$P$14)-MIN('2_指标值'!$G$14:$P$14)))+0.01</f>
        <v/>
      </c>
    </row>
    <row r="41">
      <c r="A41" s="5" t="inlineStr">
        <is>
          <t>E3</t>
        </is>
      </c>
      <c r="B41" s="5" t="inlineStr">
        <is>
          <t>空气质量优良天数比例（%）</t>
        </is>
      </c>
      <c r="C41" s="7">
        <f>0.98*(('2_指标值'!G14-MIN('2_指标值'!$G$14:$M$14))/(MAX('2_指标值'!$G$14:$M$14)-MIN('2_指标值'!$G$14:$M$14)))+0.01</f>
        <v/>
      </c>
      <c r="D41" s="7">
        <f>0.98*(('2_指标值'!H14-MIN('2_指标值'!$G$14:$M$14))/(MAX('2_指标值'!$G$14:$M$14)-MIN('2_指标值'!$G$14:$M$14)))+0.01</f>
        <v/>
      </c>
      <c r="E41" s="7">
        <f>0.98*(('2_指标值'!I14-MIN('2_指标值'!$G$14:$M$14))/(MAX('2_指标值'!$G$14:$M$14)-MIN('2_指标值'!$G$14:$M$14)))+0.01</f>
        <v/>
      </c>
      <c r="F41" s="7">
        <f>0.98*(('2_指标值'!J14-MIN('2_指标值'!$G$14:$M$14))/(MAX('2_指标值'!$G$14:$M$14)-MIN('2_指标值'!$G$14:$M$14)))+0.01</f>
        <v/>
      </c>
      <c r="G41" s="7">
        <f>0.98*(('2_指标值'!K14-MIN('2_指标值'!$G$14:$M$14))/(MAX('2_指标值'!$G$14:$M$14)-MIN('2_指标值'!$G$14:$M$14)))+0.01</f>
        <v/>
      </c>
      <c r="H41" s="7">
        <f>0.98*(('2_指标值'!L14-MIN('2_指标值'!$G$14:$M$14))/(MAX('2_指标值'!$G$14:$M$14)-MIN('2_指标值'!$G$14:$M$14)))+0.01</f>
        <v/>
      </c>
      <c r="I41" s="7">
        <f>0.98*(('2_指标值'!M14-MIN('2_指标值'!$G$14:$M$14))/(MAX('2_指标值'!$G$14:$M$14)-MIN('2_指标值'!$G$14:$M$14)))+0.01</f>
        <v/>
      </c>
    </row>
    <row r="42">
      <c r="C42" s="21">
        <f>C41-C40</f>
        <v/>
      </c>
      <c r="D42" s="11">
        <f>D41-D40</f>
        <v/>
      </c>
      <c r="E42" s="11">
        <f>E41-E40</f>
        <v/>
      </c>
      <c r="F42" s="11">
        <f>F41-F40</f>
        <v/>
      </c>
      <c r="G42" s="11">
        <f>G41-G40</f>
        <v/>
      </c>
      <c r="H42" s="11">
        <f>H41-H40</f>
        <v/>
      </c>
      <c r="I42" s="11">
        <f>I41-I40</f>
        <v/>
      </c>
    </row>
    <row r="43">
      <c r="A43" s="5" t="inlineStr">
        <is>
          <t>E4</t>
        </is>
      </c>
      <c r="B43" s="5" t="inlineStr">
        <is>
          <t>草原综合植被盖度（%）</t>
        </is>
      </c>
      <c r="C43" s="7">
        <f>0.98*(('2_指标值'!G15-MIN('2_指标值'!$G$15:$P$15))/(MAX('2_指标值'!$G$15:$P$15)-MIN('2_指标值'!$G$15:$P$15)))+0.01</f>
        <v/>
      </c>
      <c r="D43" s="7">
        <f>0.98*(('2_指标值'!H15-MIN('2_指标值'!$G$15:$P$15))/(MAX('2_指标值'!$G$15:$P$15)-MIN('2_指标值'!$G$15:$P$15)))+0.01</f>
        <v/>
      </c>
      <c r="E43" s="7">
        <f>0.98*(('2_指标值'!I15-MIN('2_指标值'!$G$15:$P$15))/(MAX('2_指标值'!$G$15:$P$15)-MIN('2_指标值'!$G$15:$P$15)))+0.01</f>
        <v/>
      </c>
      <c r="F43" s="7">
        <f>0.98*(('2_指标值'!J15-MIN('2_指标值'!$G$15:$P$15))/(MAX('2_指标值'!$G$15:$P$15)-MIN('2_指标值'!$G$15:$P$15)))+0.01</f>
        <v/>
      </c>
      <c r="G43" s="7">
        <f>0.98*(('2_指标值'!K15-MIN('2_指标值'!$G$15:$P$15))/(MAX('2_指标值'!$G$15:$P$15)-MIN('2_指标值'!$G$15:$P$15)))+0.01</f>
        <v/>
      </c>
      <c r="H43" s="7">
        <f>0.98*(('2_指标值'!L15-MIN('2_指标值'!$G$15:$P$15))/(MAX('2_指标值'!$G$15:$P$15)-MIN('2_指标值'!$G$15:$P$15)))+0.01</f>
        <v/>
      </c>
      <c r="I43" s="7">
        <f>0.98*(('2_指标值'!M15-MIN('2_指标值'!$G$15:$P$15))/(MAX('2_指标值'!$G$15:$P$15)-MIN('2_指标值'!$G$15:$P$15)))+0.01</f>
        <v/>
      </c>
    </row>
    <row r="44">
      <c r="A44" s="5" t="inlineStr">
        <is>
          <t>E4</t>
        </is>
      </c>
      <c r="B44" s="5" t="inlineStr">
        <is>
          <t>草原综合植被盖度（%）</t>
        </is>
      </c>
      <c r="C44" s="7">
        <f>0.98*(('2_指标值'!G15-MIN('2_指标值'!$G$15:$M$15))/(MAX('2_指标值'!$G$15:$M$15)-MIN('2_指标值'!$G$15:$M$15)))+0.01</f>
        <v/>
      </c>
      <c r="D44" s="7">
        <f>0.98*(('2_指标值'!H15-MIN('2_指标值'!$G$15:$M$15))/(MAX('2_指标值'!$G$15:$M$15)-MIN('2_指标值'!$G$15:$M$15)))+0.01</f>
        <v/>
      </c>
      <c r="E44" s="7">
        <f>0.98*(('2_指标值'!I15-MIN('2_指标值'!$G$15:$M$15))/(MAX('2_指标值'!$G$15:$M$15)-MIN('2_指标值'!$G$15:$M$15)))+0.01</f>
        <v/>
      </c>
      <c r="F44" s="7">
        <f>0.98*(('2_指标值'!J15-MIN('2_指标值'!$G$15:$M$15))/(MAX('2_指标值'!$G$15:$M$15)-MIN('2_指标值'!$G$15:$M$15)))+0.01</f>
        <v/>
      </c>
      <c r="G44" s="7">
        <f>0.98*(('2_指标值'!K15-MIN('2_指标值'!$G$15:$M$15))/(MAX('2_指标值'!$G$15:$M$15)-MIN('2_指标值'!$G$15:$M$15)))+0.01</f>
        <v/>
      </c>
      <c r="H44" s="7">
        <f>0.98*(('2_指标值'!L15-MIN('2_指标值'!$G$15:$M$15))/(MAX('2_指标值'!$G$15:$M$15)-MIN('2_指标值'!$G$15:$M$15)))+0.01</f>
        <v/>
      </c>
      <c r="I44" s="7">
        <f>0.98*(('2_指标值'!M15-MIN('2_指标值'!$G$15:$M$15))/(MAX('2_指标值'!$G$15:$M$15)-MIN('2_指标值'!$G$15:$M$15)))+0.01</f>
        <v/>
      </c>
    </row>
    <row r="45">
      <c r="C45" s="21">
        <f>C44-C43</f>
        <v/>
      </c>
      <c r="D45" s="11">
        <f>D44-D43</f>
        <v/>
      </c>
      <c r="E45" s="11">
        <f>E44-E43</f>
        <v/>
      </c>
      <c r="F45" s="11">
        <f>F44-F43</f>
        <v/>
      </c>
      <c r="G45" s="11">
        <f>G44-G43</f>
        <v/>
      </c>
      <c r="H45" s="11">
        <f>H44-H43</f>
        <v/>
      </c>
      <c r="I45" s="11">
        <f>I44-I43</f>
        <v/>
      </c>
    </row>
    <row r="47">
      <c r="B47" s="3" t="inlineStr">
        <is>
          <t>极差法最大绝对差异</t>
        </is>
      </c>
      <c r="D47" s="22">
        <f>MAX(ABS(C9:I9),ABS(C12:I12),ABS(C15:I15),ABS(C18:I18),ABS(C21:I21),ABS(C24:I24),ABS(C27:I27),ABS(C30:I30),ABS(C33:I33),ABS(C36:I36),ABS(C39:I39),ABS(C42:I42),ABS(C45:I45))</f>
        <v/>
      </c>
    </row>
    <row r="48">
      <c r="B48" s="3" t="inlineStr">
        <is>
          <t>固定基准法最大绝对差异</t>
        </is>
      </c>
      <c r="D48" s="22" t="n">
        <v>0</v>
      </c>
      <c r="E48" t="inlineStr">
        <is>
          <t>（上下限外生，恒为0，无需计算）</t>
        </is>
      </c>
    </row>
    <row r="49">
      <c r="B49" s="3" t="inlineStr">
        <is>
          <t>论文§5(二)载值</t>
        </is>
      </c>
      <c r="D49" s="22" t="n">
        <v>0.229</v>
      </c>
      <c r="E49" t="inlineStr">
        <is>
          <t>注：本表按【指标层标准化值】计算；若论文0.229系按子系统指数层计算，量级会因取平均而显著收敛，两者不可直接比较——请作者确认0.229的计算层级。</t>
        </is>
      </c>
    </row>
    <row r="51">
      <c r="A51" s="3" t="inlineStr">
        <is>
          <t>(二) 惯例性上限 ±25% 扰动</t>
        </is>
      </c>
    </row>
    <row r="52">
      <c r="A52" t="inlineStr">
        <is>
          <t>在下方黄色单元格改动倍率（1=原设定，1.25/0.75=±25%），「2_指标值」的上限随之变化，全表自动重算。</t>
        </is>
      </c>
    </row>
    <row r="53">
      <c r="A53" s="4" t="inlineStr">
        <is>
          <t>指标</t>
        </is>
      </c>
      <c r="B53" s="4" t="inlineStr">
        <is>
          <t>原上限</t>
        </is>
      </c>
      <c r="C53" s="4" t="inlineStr">
        <is>
          <t>扰动倍率</t>
        </is>
      </c>
      <c r="D53" s="4" t="inlineStr">
        <is>
          <t>扰动后上限</t>
        </is>
      </c>
    </row>
    <row r="54">
      <c r="A54" s="5" t="inlineStr">
        <is>
          <t>S1 人均一般公共预算收入（元/人）</t>
        </is>
      </c>
      <c r="B54" s="5" t="n">
        <v>12000</v>
      </c>
      <c r="C54" s="23" t="n">
        <v>1</v>
      </c>
      <c r="D54" s="24">
        <f>B54*C54</f>
        <v/>
      </c>
    </row>
    <row r="55">
      <c r="A55" s="5" t="inlineStr">
        <is>
          <t>S3 居民医保人均财政补助标准（元/人年）</t>
        </is>
      </c>
      <c r="B55" s="5" t="n">
        <v>1200</v>
      </c>
      <c r="C55" s="23" t="n">
        <v>1</v>
      </c>
      <c r="D55" s="24">
        <f>B55*C55</f>
        <v/>
      </c>
    </row>
    <row r="56">
      <c r="A56" s="5" t="inlineStr">
        <is>
          <t>D3 外向度（进出口总额/GDP，%）</t>
        </is>
      </c>
      <c r="B56" s="5" t="n">
        <v>10</v>
      </c>
      <c r="C56" s="23" t="n">
        <v>1</v>
      </c>
      <c r="D56" s="24">
        <f>B56*C56</f>
        <v/>
      </c>
    </row>
    <row r="57">
      <c r="A57" s="5" t="inlineStr">
        <is>
          <t>D4 人均接待游客（万人次/万人）</t>
        </is>
      </c>
      <c r="B57" s="5" t="n">
        <v>25</v>
      </c>
      <c r="C57" s="23" t="n">
        <v>1</v>
      </c>
      <c r="D57" s="24">
        <f>B57*C57</f>
        <v/>
      </c>
    </row>
    <row r="58">
      <c r="A58" s="5" t="inlineStr">
        <is>
          <t>D5 发电量（亿千瓦时）</t>
        </is>
      </c>
      <c r="B58" s="5" t="n">
        <v>200</v>
      </c>
      <c r="C58" s="23" t="n">
        <v>1</v>
      </c>
      <c r="D58" s="24">
        <f>B58*C58</f>
        <v/>
      </c>
    </row>
    <row r="61">
      <c r="A61" s="3" t="inlineStr">
        <is>
          <t>(三) 权重集中度（论文§5(二)）</t>
        </is>
      </c>
    </row>
    <row r="62">
      <c r="A62" s="4" t="inlineStr">
        <is>
          <t>项目</t>
        </is>
      </c>
      <c r="B62" s="4" t="inlineStr">
        <is>
          <t>数值</t>
        </is>
      </c>
      <c r="C62" s="4" t="inlineStr">
        <is>
          <t>论文载值</t>
        </is>
      </c>
    </row>
    <row r="63">
      <c r="A63" s="5" t="inlineStr">
        <is>
          <t>最大单项组合权重</t>
        </is>
      </c>
      <c r="B63" s="18">
        <f>MAX('6_组合权重'!$L$5:$L$17)</f>
        <v/>
      </c>
      <c r="C63" s="10" t="n">
        <v>0.303</v>
      </c>
    </row>
    <row r="64">
      <c r="A64" s="5" t="inlineStr">
        <is>
          <t>前四项组合权重合计</t>
        </is>
      </c>
      <c r="B64" s="18">
        <f>LARGE('6_组合权重'!$L$5:$L$17,1)+LARGE('6_组合权重'!$L$5:$L$17,2)+LARGE('6_组合权重'!$L$5:$L$17,3)+LARGE('6_组合权重'!$L$5:$L$17,4)</f>
        <v/>
      </c>
      <c r="C64" s="10" t="n">
        <v>0.827</v>
      </c>
    </row>
    <row r="65">
      <c r="A65" s="5" t="inlineStr">
        <is>
          <t>其余九项合计</t>
        </is>
      </c>
      <c r="B65" s="18">
        <f>1-(LARGE('6_组合权重'!$L$5:$L$17,1)+LARGE('6_组合权重'!$L$5:$L$17,2)+LARGE('6_组合权重'!$L$5:$L$17,3)+LARGE('6_组合权重'!$L$5:$L$17,4))</f>
        <v/>
      </c>
      <c r="C65" s="10" t="n">
        <v>0.173</v>
      </c>
    </row>
    <row r="66">
      <c r="A66" s="5" t="inlineStr">
        <is>
          <t>安全类四项组合权重合计</t>
        </is>
      </c>
      <c r="B66" s="18">
        <f>'6_组合权重'!$L$5+'6_组合权重'!$L$6+'6_组合权重'!$L$7+'6_组合权重'!$L$8</f>
        <v/>
      </c>
    </row>
    <row r="67">
      <c r="A67" s="5" t="inlineStr">
        <is>
          <t>安全类单项最大权重</t>
        </is>
      </c>
      <c r="B67" s="18">
        <f>MAX('6_组合权重'!$L$5,'6_组合权重'!$L$6,'6_组合权重'!$L$7,'6_组合权重'!$L$8)</f>
        <v/>
      </c>
      <c r="C67" s="10" t="n">
        <v>0.012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简化线性加总对照指数（论文§5(一)）：同一13项指标重新分组为协调/绿色/开放/共享四维度</t>
        </is>
      </c>
    </row>
    <row r="2">
      <c r="A2" s="25" t="inlineStr">
        <is>
          <t>★ 使用前请先在 C 列填入各指标的维度归属（协调 / 绿色 / 开放 / 共享），填好后下方自动计算。</t>
        </is>
      </c>
    </row>
    <row r="4">
      <c r="A4" s="4" t="inlineStr">
        <is>
          <t>编码</t>
        </is>
      </c>
      <c r="B4" s="4" t="inlineStr">
        <is>
          <t>指标</t>
        </is>
      </c>
      <c r="C4" s="4" t="inlineStr">
        <is>
          <t>归入维度</t>
        </is>
      </c>
    </row>
    <row r="5">
      <c r="A5" s="5" t="inlineStr">
        <is>
          <t>S1</t>
        </is>
      </c>
      <c r="B5" s="5" t="inlineStr">
        <is>
          <t>人均一般公共预算收入（元/人）</t>
        </is>
      </c>
      <c r="C5" s="23" t="inlineStr"/>
    </row>
    <row r="6">
      <c r="A6" s="5" t="inlineStr">
        <is>
          <t>S2</t>
        </is>
      </c>
      <c r="B6" s="5" t="inlineStr">
        <is>
          <t>城乡居民收入比与全国差距（倍）</t>
        </is>
      </c>
      <c r="C6" s="23" t="inlineStr"/>
    </row>
    <row r="7">
      <c r="A7" s="5" t="inlineStr">
        <is>
          <t>S3</t>
        </is>
      </c>
      <c r="B7" s="5" t="inlineStr">
        <is>
          <t>居民医保人均财政补助标准（元/人年）</t>
        </is>
      </c>
      <c r="C7" s="23" t="inlineStr"/>
    </row>
    <row r="8">
      <c r="A8" s="5" t="inlineStr">
        <is>
          <t>S4</t>
        </is>
      </c>
      <c r="B8" s="5" t="inlineStr">
        <is>
          <t>基本养老保险参保率（%）</t>
        </is>
      </c>
      <c r="C8" s="23" t="inlineStr"/>
    </row>
    <row r="9">
      <c r="A9" s="5" t="inlineStr">
        <is>
          <t>D1</t>
        </is>
      </c>
      <c r="B9" s="5" t="inlineStr">
        <is>
          <t>人均GDP相对全国水平（%）</t>
        </is>
      </c>
      <c r="C9" s="23" t="inlineStr"/>
    </row>
    <row r="10">
      <c r="A10" s="5" t="inlineStr">
        <is>
          <t>D2</t>
        </is>
      </c>
      <c r="B10" s="5" t="inlineStr">
        <is>
          <t>农村居民人均收入相对全国水平（%）</t>
        </is>
      </c>
      <c r="C10" s="23" t="inlineStr"/>
    </row>
    <row r="11">
      <c r="A11" s="5" t="inlineStr">
        <is>
          <t>D3</t>
        </is>
      </c>
      <c r="B11" s="5" t="inlineStr">
        <is>
          <t>外向度（进出口总额/GDP，%）</t>
        </is>
      </c>
      <c r="C11" s="23" t="inlineStr"/>
    </row>
    <row r="12">
      <c r="A12" s="5" t="inlineStr">
        <is>
          <t>D4</t>
        </is>
      </c>
      <c r="B12" s="5" t="inlineStr">
        <is>
          <t>人均接待游客（万人次/万人）</t>
        </is>
      </c>
      <c r="C12" s="23" t="inlineStr"/>
    </row>
    <row r="13">
      <c r="A13" s="5" t="inlineStr">
        <is>
          <t>D5</t>
        </is>
      </c>
      <c r="B13" s="5" t="inlineStr">
        <is>
          <t>发电量（亿千瓦时）</t>
        </is>
      </c>
      <c r="C13" s="23" t="inlineStr"/>
    </row>
    <row r="14">
      <c r="A14" s="5" t="inlineStr">
        <is>
          <t>E1</t>
        </is>
      </c>
      <c r="B14" s="5" t="inlineStr">
        <is>
          <t>单位GDP能耗指数</t>
        </is>
      </c>
      <c r="C14" s="23" t="inlineStr"/>
    </row>
    <row r="15">
      <c r="A15" s="5" t="inlineStr">
        <is>
          <t>E2</t>
        </is>
      </c>
      <c r="B15" s="5" t="inlineStr">
        <is>
          <t>森林覆盖率（%）</t>
        </is>
      </c>
      <c r="C15" s="23" t="inlineStr"/>
    </row>
    <row r="16">
      <c r="A16" s="5" t="inlineStr">
        <is>
          <t>E3</t>
        </is>
      </c>
      <c r="B16" s="5" t="inlineStr">
        <is>
          <t>空气质量优良天数比例（%）</t>
        </is>
      </c>
      <c r="C16" s="23" t="inlineStr"/>
    </row>
    <row r="17">
      <c r="A17" s="5" t="inlineStr">
        <is>
          <t>E4</t>
        </is>
      </c>
      <c r="B17" s="5" t="inlineStr">
        <is>
          <t>草原综合植被盖度（%）</t>
        </is>
      </c>
      <c r="C17" s="23" t="inlineStr"/>
    </row>
    <row r="20">
      <c r="A20" s="3" t="inlineStr">
        <is>
          <t>四维度指数与对照指数</t>
        </is>
      </c>
    </row>
    <row r="21">
      <c r="A21" s="4" t="inlineStr">
        <is>
          <t>维度</t>
        </is>
      </c>
      <c r="B21" s="4" t="inlineStr">
        <is>
          <t>2016</t>
        </is>
      </c>
      <c r="C21" s="4" t="inlineStr">
        <is>
          <t>2017</t>
        </is>
      </c>
      <c r="D21" s="4" t="inlineStr">
        <is>
          <t>2018</t>
        </is>
      </c>
      <c r="E21" s="4" t="inlineStr">
        <is>
          <t>2019</t>
        </is>
      </c>
      <c r="F21" s="4" t="inlineStr">
        <is>
          <t>2020</t>
        </is>
      </c>
      <c r="G21" s="4" t="inlineStr">
        <is>
          <t>2021</t>
        </is>
      </c>
      <c r="H21" s="4" t="inlineStr">
        <is>
          <t>2022</t>
        </is>
      </c>
      <c r="I21" s="4" t="inlineStr">
        <is>
          <t>2023</t>
        </is>
      </c>
      <c r="J21" s="4" t="inlineStr">
        <is>
          <t>2024</t>
        </is>
      </c>
      <c r="K21" s="4" t="inlineStr">
        <is>
          <t>2025</t>
        </is>
      </c>
    </row>
    <row r="22">
      <c r="A22" s="5" t="inlineStr">
        <is>
          <t>协调</t>
        </is>
      </c>
      <c r="C22" s="7">
        <f>IFERROR(AVERAGEIF($C$5:$C$17,$A22,'3_标准化'!C$3:C$15),"")</f>
        <v/>
      </c>
      <c r="D22" s="7">
        <f>IFERROR(AVERAGEIF($C$5:$C$17,$A22,'3_标准化'!D$3:D$15),"")</f>
        <v/>
      </c>
      <c r="E22" s="7">
        <f>IFERROR(AVERAGEIF($C$5:$C$17,$A22,'3_标准化'!E$3:E$15),"")</f>
        <v/>
      </c>
      <c r="F22" s="7">
        <f>IFERROR(AVERAGEIF($C$5:$C$17,$A22,'3_标准化'!F$3:F$15),"")</f>
        <v/>
      </c>
      <c r="G22" s="7">
        <f>IFERROR(AVERAGEIF($C$5:$C$17,$A22,'3_标准化'!G$3:G$15),"")</f>
        <v/>
      </c>
      <c r="H22" s="7">
        <f>IFERROR(AVERAGEIF($C$5:$C$17,$A22,'3_标准化'!H$3:H$15),"")</f>
        <v/>
      </c>
      <c r="I22" s="7">
        <f>IFERROR(AVERAGEIF($C$5:$C$17,$A22,'3_标准化'!I$3:I$15),"")</f>
        <v/>
      </c>
      <c r="J22" s="7">
        <f>IFERROR(AVERAGEIF($C$5:$C$17,$A22,'3_标准化'!J$3:J$15),"")</f>
        <v/>
      </c>
      <c r="K22" s="7">
        <f>IFERROR(AVERAGEIF($C$5:$C$17,$A22,'3_标准化'!K$3:K$15),"")</f>
        <v/>
      </c>
      <c r="L22" s="7">
        <f>IFERROR(AVERAGEIF($C$5:$C$17,$A22,'3_标准化'!L$3:L$15),"")</f>
        <v/>
      </c>
    </row>
    <row r="23">
      <c r="A23" s="5" t="inlineStr">
        <is>
          <t>绿色</t>
        </is>
      </c>
      <c r="C23" s="7">
        <f>IFERROR(AVERAGEIF($C$5:$C$17,$A23,'3_标准化'!C$3:C$15),"")</f>
        <v/>
      </c>
      <c r="D23" s="7">
        <f>IFERROR(AVERAGEIF($C$5:$C$17,$A23,'3_标准化'!D$3:D$15),"")</f>
        <v/>
      </c>
      <c r="E23" s="7">
        <f>IFERROR(AVERAGEIF($C$5:$C$17,$A23,'3_标准化'!E$3:E$15),"")</f>
        <v/>
      </c>
      <c r="F23" s="7">
        <f>IFERROR(AVERAGEIF($C$5:$C$17,$A23,'3_标准化'!F$3:F$15),"")</f>
        <v/>
      </c>
      <c r="G23" s="7">
        <f>IFERROR(AVERAGEIF($C$5:$C$17,$A23,'3_标准化'!G$3:G$15),"")</f>
        <v/>
      </c>
      <c r="H23" s="7">
        <f>IFERROR(AVERAGEIF($C$5:$C$17,$A23,'3_标准化'!H$3:H$15),"")</f>
        <v/>
      </c>
      <c r="I23" s="7">
        <f>IFERROR(AVERAGEIF($C$5:$C$17,$A23,'3_标准化'!I$3:I$15),"")</f>
        <v/>
      </c>
      <c r="J23" s="7">
        <f>IFERROR(AVERAGEIF($C$5:$C$17,$A23,'3_标准化'!J$3:J$15),"")</f>
        <v/>
      </c>
      <c r="K23" s="7">
        <f>IFERROR(AVERAGEIF($C$5:$C$17,$A23,'3_标准化'!K$3:K$15),"")</f>
        <v/>
      </c>
      <c r="L23" s="7">
        <f>IFERROR(AVERAGEIF($C$5:$C$17,$A23,'3_标准化'!L$3:L$15),"")</f>
        <v/>
      </c>
    </row>
    <row r="24">
      <c r="A24" s="5" t="inlineStr">
        <is>
          <t>开放</t>
        </is>
      </c>
      <c r="C24" s="7">
        <f>IFERROR(AVERAGEIF($C$5:$C$17,$A24,'3_标准化'!C$3:C$15),"")</f>
        <v/>
      </c>
      <c r="D24" s="7">
        <f>IFERROR(AVERAGEIF($C$5:$C$17,$A24,'3_标准化'!D$3:D$15),"")</f>
        <v/>
      </c>
      <c r="E24" s="7">
        <f>IFERROR(AVERAGEIF($C$5:$C$17,$A24,'3_标准化'!E$3:E$15),"")</f>
        <v/>
      </c>
      <c r="F24" s="7">
        <f>IFERROR(AVERAGEIF($C$5:$C$17,$A24,'3_标准化'!F$3:F$15),"")</f>
        <v/>
      </c>
      <c r="G24" s="7">
        <f>IFERROR(AVERAGEIF($C$5:$C$17,$A24,'3_标准化'!G$3:G$15),"")</f>
        <v/>
      </c>
      <c r="H24" s="7">
        <f>IFERROR(AVERAGEIF($C$5:$C$17,$A24,'3_标准化'!H$3:H$15),"")</f>
        <v/>
      </c>
      <c r="I24" s="7">
        <f>IFERROR(AVERAGEIF($C$5:$C$17,$A24,'3_标准化'!I$3:I$15),"")</f>
        <v/>
      </c>
      <c r="J24" s="7">
        <f>IFERROR(AVERAGEIF($C$5:$C$17,$A24,'3_标准化'!J$3:J$15),"")</f>
        <v/>
      </c>
      <c r="K24" s="7">
        <f>IFERROR(AVERAGEIF($C$5:$C$17,$A24,'3_标准化'!K$3:K$15),"")</f>
        <v/>
      </c>
      <c r="L24" s="7">
        <f>IFERROR(AVERAGEIF($C$5:$C$17,$A24,'3_标准化'!L$3:L$15),"")</f>
        <v/>
      </c>
    </row>
    <row r="25">
      <c r="A25" s="5" t="inlineStr">
        <is>
          <t>共享</t>
        </is>
      </c>
      <c r="C25" s="7">
        <f>IFERROR(AVERAGEIF($C$5:$C$17,$A25,'3_标准化'!C$3:C$15),"")</f>
        <v/>
      </c>
      <c r="D25" s="7">
        <f>IFERROR(AVERAGEIF($C$5:$C$17,$A25,'3_标准化'!D$3:D$15),"")</f>
        <v/>
      </c>
      <c r="E25" s="7">
        <f>IFERROR(AVERAGEIF($C$5:$C$17,$A25,'3_标准化'!E$3:E$15),"")</f>
        <v/>
      </c>
      <c r="F25" s="7">
        <f>IFERROR(AVERAGEIF($C$5:$C$17,$A25,'3_标准化'!F$3:F$15),"")</f>
        <v/>
      </c>
      <c r="G25" s="7">
        <f>IFERROR(AVERAGEIF($C$5:$C$17,$A25,'3_标准化'!G$3:G$15),"")</f>
        <v/>
      </c>
      <c r="H25" s="7">
        <f>IFERROR(AVERAGEIF($C$5:$C$17,$A25,'3_标准化'!H$3:H$15),"")</f>
        <v/>
      </c>
      <c r="I25" s="7">
        <f>IFERROR(AVERAGEIF($C$5:$C$17,$A25,'3_标准化'!I$3:I$15),"")</f>
        <v/>
      </c>
      <c r="J25" s="7">
        <f>IFERROR(AVERAGEIF($C$5:$C$17,$A25,'3_标准化'!J$3:J$15),"")</f>
        <v/>
      </c>
      <c r="K25" s="7">
        <f>IFERROR(AVERAGEIF($C$5:$C$17,$A25,'3_标准化'!K$3:K$15),"")</f>
        <v/>
      </c>
      <c r="L25" s="7">
        <f>IFERROR(AVERAGEIF($C$5:$C$17,$A25,'3_标准化'!L$3:L$15),"")</f>
        <v/>
      </c>
    </row>
    <row r="26">
      <c r="A26" s="3" t="inlineStr">
        <is>
          <t>对照指数（四维算术平均）</t>
        </is>
      </c>
      <c r="C26" s="7">
        <f>IFERROR(AVERAGE(C22:C25),"")</f>
        <v/>
      </c>
      <c r="D26" s="7">
        <f>IFERROR(AVERAGE(D22:D25),"")</f>
        <v/>
      </c>
      <c r="E26" s="7">
        <f>IFERROR(AVERAGE(E22:E25),"")</f>
        <v/>
      </c>
      <c r="F26" s="7">
        <f>IFERROR(AVERAGE(F22:F25),"")</f>
        <v/>
      </c>
      <c r="G26" s="7">
        <f>IFERROR(AVERAGE(G22:G25),"")</f>
        <v/>
      </c>
      <c r="H26" s="7">
        <f>IFERROR(AVERAGE(H22:H25),"")</f>
        <v/>
      </c>
      <c r="I26" s="7">
        <f>IFERROR(AVERAGE(I22:I25),"")</f>
        <v/>
      </c>
      <c r="J26" s="7">
        <f>IFERROR(AVERAGE(J22:J25),"")</f>
        <v/>
      </c>
      <c r="K26" s="7">
        <f>IFERROR(AVERAGE(K22:K25),"")</f>
        <v/>
      </c>
      <c r="L26" s="7">
        <f>IFERROR(AVERAGE(L22:L25),"")</f>
        <v/>
      </c>
    </row>
    <row r="27">
      <c r="A27" s="3" t="inlineStr">
        <is>
          <t>与 MPI 协调指数的相关系数</t>
        </is>
      </c>
      <c r="C27" s="20">
        <f>IFERROR(CORREL(C26:L26,'5_MPI协调指数'!I3:I12),"待填维度归属")</f>
        <v/>
      </c>
    </row>
    <row r="28">
      <c r="A28" t="inlineStr">
        <is>
          <t>论文载值</t>
        </is>
      </c>
      <c r="C28" s="20" t="n">
        <v>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2026-09-15T05:11:21Z</dcterms:created>
  <dcterms:modified xmlns:dcterms="http://purl.org/dc/terms/" xmlns:xsi="http://www.w3.org/2001/XMLSchema-instance" xsi:type="dcterms:W3CDTF">2026-09-15T05:11:21Z</dcterms:modified>
</cp:coreProperties>
</file>